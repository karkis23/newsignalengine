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han_Signals" sheetId="1" r:id="rId4"/>
    <sheet state="visible" name="Dhan_Active_Trades" sheetId="2" r:id="rId5"/>
    <sheet state="visible" name="Dhan_Trade_Summary" sheetId="3" r:id="rId6"/>
    <sheet state="visible" name="Dhan_Performance_Log" sheetId="4" r:id="rId7"/>
    <sheet state="visible" name="Dhan_Alert_Log" sheetId="5" r:id="rId8"/>
  </sheets>
  <definedNames/>
  <calcPr/>
</workbook>
</file>

<file path=xl/sharedStrings.xml><?xml version="1.0" encoding="utf-8"?>
<sst xmlns="http://schemas.openxmlformats.org/spreadsheetml/2006/main" count="3441" uniqueCount="866">
  <si>
    <t>Timestamp</t>
  </si>
  <si>
    <t>Signal</t>
  </si>
  <si>
    <t>Confidence</t>
  </si>
  <si>
    <t>RSI</t>
  </si>
  <si>
    <t>MACD</t>
  </si>
  <si>
    <t>Momentum</t>
  </si>
  <si>
    <t>Volume Ratio</t>
  </si>
  <si>
    <t>VIX</t>
  </si>
  <si>
    <t>Sentiment</t>
  </si>
  <si>
    <t>Writers Zone</t>
  </si>
  <si>
    <t>Candle Pattern</t>
  </si>
  <si>
    <t>Spot Price</t>
  </si>
  <si>
    <t>Market Strength</t>
  </si>
  <si>
    <t>Put Call Premium Ratio</t>
  </si>
  <si>
    <t>Writers Confidence</t>
  </si>
  <si>
    <t>ATM Strike</t>
  </si>
  <si>
    <t>2025-07-31T05:17:20.919Z</t>
  </si>
  <si>
    <t>WAIT</t>
  </si>
  <si>
    <t>0</t>
  </si>
  <si>
    <t>{"rsi":"44.22","status":"Neutral"}</t>
  </si>
  <si>
    <t>{"macd":"0.19","signal":"0.19","histogram":"0.00","status":"Neutral"}</t>
  </si>
  <si>
    <t/>
  </si>
  <si>
    <t>NEUTRAL</t>
  </si>
  <si>
    <t>2025-07-31T05:29:32.210Z</t>
  </si>
  <si>
    <t>2025-07-31T05:30:02.529Z</t>
  </si>
  <si>
    <t>2025-07-31T05:35:02.831Z</t>
  </si>
  <si>
    <t>2025-07-31T05:40:02.690Z</t>
  </si>
  <si>
    <t>2025-07-31T05:45:02.529Z</t>
  </si>
  <si>
    <t>2025-07-31T05:50:02.609Z</t>
  </si>
  <si>
    <t>2025-07-31T05:55:02.299Z</t>
  </si>
  <si>
    <t>2025-07-31T18:01:01.161Z</t>
  </si>
  <si>
    <t>{"rsi":"20.16","status":"Oversold"}</t>
  </si>
  <si>
    <t>{"macd":"-38.73","signal":"-38.73","histogram":"0.00","status":"Neutral"}</t>
  </si>
  <si>
    <t>BUY PUT (PE)</t>
  </si>
  <si>
    <t>-70</t>
  </si>
  <si>
    <t>BUY CALL (CE)</t>
  </si>
  <si>
    <t>65</t>
  </si>
  <si>
    <t>2025-07-31T19:05:33.130Z</t>
  </si>
  <si>
    <t>2025-07-31T19:42:00.983Z</t>
  </si>
  <si>
    <t>2025-07-31T20:09:26.840Z</t>
  </si>
  <si>
    <t>2025-07-31T20:23:40.550Z</t>
  </si>
  <si>
    <t>20</t>
  </si>
  <si>
    <t>2025-07-31T21:33:32.761Z</t>
  </si>
  <si>
    <t>2025-07-31T22:16:00.459Z</t>
  </si>
  <si>
    <t>11.54</t>
  </si>
  <si>
    <t>2025-07-31T22:31:04.824Z</t>
  </si>
  <si>
    <t>2025-07-31T22:32:13.007Z</t>
  </si>
  <si>
    <t>2025-07-31T05:09:23.744Z</t>
  </si>
  <si>
    <t>20.16</t>
  </si>
  <si>
    <t xml:space="preserve"> -38.73</t>
  </si>
  <si>
    <t>2025-07-31T22:43:34.169Z</t>
  </si>
  <si>
    <t>2025-08-01T19:46:48.809Z</t>
  </si>
  <si>
    <t>31.59</t>
  </si>
  <si>
    <t xml:space="preserve"> -25.04</t>
  </si>
  <si>
    <t>11.97</t>
  </si>
  <si>
    <t>2025-08-01T19:52:19.366Z</t>
  </si>
  <si>
    <t>2025-08-01T19:57:06.980Z</t>
  </si>
  <si>
    <t>2025-08-01T20:37:31.500Z</t>
  </si>
  <si>
    <t>2025-08-01T20:46:27.550Z</t>
  </si>
  <si>
    <t>2025-08-01T20:58:51.131Z</t>
  </si>
  <si>
    <t>2025-08-01T21:41:37.037Z</t>
  </si>
  <si>
    <t>2025-08-01T21:59:58.866Z</t>
  </si>
  <si>
    <t>2025-08-01T22:02:54.897Z</t>
  </si>
  <si>
    <t>2025-08-01T22:05:53.092Z</t>
  </si>
  <si>
    <t>2025-08-01T22:15:24.086Z</t>
  </si>
  <si>
    <t>2025-08-02T17:30:36.581Z</t>
  </si>
  <si>
    <t>2025-08-02T17:41:02.209Z</t>
  </si>
  <si>
    <t>2025-08-02T19:19:00.836Z</t>
  </si>
  <si>
    <t>2025-08-02T19:19:32.966Z</t>
  </si>
  <si>
    <t>2025-08-02T19:21:10.559Z</t>
  </si>
  <si>
    <t>2025-08-02T20:17:13.439Z</t>
  </si>
  <si>
    <t>2025-08-03T04:48:14.477Z</t>
  </si>
  <si>
    <t xml:space="preserve"> 0.00</t>
  </si>
  <si>
    <t>2025-08-03T04:49:03.549Z</t>
  </si>
  <si>
    <t>2025-08-03T04:49:19.922Z</t>
  </si>
  <si>
    <t>2025-08-03T04:51:16.004Z</t>
  </si>
  <si>
    <t>2025-08-03T04:53:03.995Z</t>
  </si>
  <si>
    <t>2025-08-03T06:36:32.753Z</t>
  </si>
  <si>
    <t>2025-08-03T07:41:02.772Z</t>
  </si>
  <si>
    <t>2025-08-03T08:46:34.597Z</t>
  </si>
  <si>
    <t>2025-08-03T23:20:57.303Z</t>
  </si>
  <si>
    <t>2025-08-03T23:26:17.386Z</t>
  </si>
  <si>
    <t>2025-08-03T23:28:15.451Z</t>
  </si>
  <si>
    <t>2025-08-03T23:29:59.431Z</t>
  </si>
  <si>
    <t>2025-08-04T03:35:02.745Z</t>
  </si>
  <si>
    <t>2025-08-04T03:40:02.954Z</t>
  </si>
  <si>
    <t>2025-08-04T03:45:02.540Z</t>
  </si>
  <si>
    <t xml:space="preserve"> 1.13</t>
  </si>
  <si>
    <t>2025-08-04T03:50:02.890Z</t>
  </si>
  <si>
    <t xml:space="preserve"> 10.20</t>
  </si>
  <si>
    <t>12.31</t>
  </si>
  <si>
    <t>2025-08-04T03:55:03.001Z</t>
  </si>
  <si>
    <t xml:space="preserve"> 13.71</t>
  </si>
  <si>
    <t>12.30</t>
  </si>
  <si>
    <t>2025-08-04T03:59:12.754Z</t>
  </si>
  <si>
    <t xml:space="preserve"> 14.99</t>
  </si>
  <si>
    <t>12.22</t>
  </si>
  <si>
    <t>2025-08-04T04:10:11.255Z</t>
  </si>
  <si>
    <t xml:space="preserve"> 20.98</t>
  </si>
  <si>
    <t>12.24</t>
  </si>
  <si>
    <t>2025-08-04T04:15:11.169Z</t>
  </si>
  <si>
    <t xml:space="preserve"> 13.63</t>
  </si>
  <si>
    <t>12.44</t>
  </si>
  <si>
    <t>2025-08-04T04:20:18.843Z</t>
  </si>
  <si>
    <t xml:space="preserve"> 14.75</t>
  </si>
  <si>
    <t>12.49</t>
  </si>
  <si>
    <t>2025-08-04T04:25:18.139Z</t>
  </si>
  <si>
    <t xml:space="preserve"> 11.84</t>
  </si>
  <si>
    <t>12.56</t>
  </si>
  <si>
    <t>2025-08-04T04:30:13.370Z</t>
  </si>
  <si>
    <t xml:space="preserve"> 10.95</t>
  </si>
  <si>
    <t>12.58</t>
  </si>
  <si>
    <t>2025-08-04T04:35:10.938Z</t>
  </si>
  <si>
    <t xml:space="preserve"> 12.38</t>
  </si>
  <si>
    <t>12.50</t>
  </si>
  <si>
    <t>2025-08-04T04:40:27.451Z</t>
  </si>
  <si>
    <t xml:space="preserve"> 12.15</t>
  </si>
  <si>
    <t>12.40</t>
  </si>
  <si>
    <t>2025-08-04T04:45:09.738Z</t>
  </si>
  <si>
    <t xml:space="preserve"> 11.78</t>
  </si>
  <si>
    <t>12.42</t>
  </si>
  <si>
    <t>2025-08-04T04:50:10.792Z</t>
  </si>
  <si>
    <t>66.01</t>
  </si>
  <si>
    <t xml:space="preserve"> 12.69</t>
  </si>
  <si>
    <t>12.37</t>
  </si>
  <si>
    <t>2025-08-04T04:55:08.907Z</t>
  </si>
  <si>
    <t>52.04</t>
  </si>
  <si>
    <t xml:space="preserve"> 14.44</t>
  </si>
  <si>
    <t>12.34</t>
  </si>
  <si>
    <t>2025-08-04T05:00:10.268Z</t>
  </si>
  <si>
    <t>41.35</t>
  </si>
  <si>
    <t xml:space="preserve"> 11.09</t>
  </si>
  <si>
    <t>12.46</t>
  </si>
  <si>
    <t>2025-08-04T05:05:11.003Z</t>
  </si>
  <si>
    <t>42.04</t>
  </si>
  <si>
    <t xml:space="preserve"> 12.34</t>
  </si>
  <si>
    <t>2025-08-04T05:10:12.622Z</t>
  </si>
  <si>
    <t>48.46</t>
  </si>
  <si>
    <t xml:space="preserve"> 14.42</t>
  </si>
  <si>
    <t>12.32</t>
  </si>
  <si>
    <t>2025-08-04T05:15:10.949Z</t>
  </si>
  <si>
    <t>47.67</t>
  </si>
  <si>
    <t xml:space="preserve"> 13.51</t>
  </si>
  <si>
    <t>2025-08-04T05:20:10.009Z</t>
  </si>
  <si>
    <t>54.94</t>
  </si>
  <si>
    <t xml:space="preserve"> 9.18</t>
  </si>
  <si>
    <t>2025-08-04T05:25:10.348Z</t>
  </si>
  <si>
    <t>56.76</t>
  </si>
  <si>
    <t xml:space="preserve"> 9.30</t>
  </si>
  <si>
    <t>2025-08-04T05:30:09.572Z</t>
  </si>
  <si>
    <t>55.90</t>
  </si>
  <si>
    <t xml:space="preserve"> 8.43</t>
  </si>
  <si>
    <t>12.38</t>
  </si>
  <si>
    <t>2025-08-04T05:35:10.836Z</t>
  </si>
  <si>
    <t>63.74</t>
  </si>
  <si>
    <t xml:space="preserve"> 12.71</t>
  </si>
  <si>
    <t>2025-08-04T05:45:28.079Z</t>
  </si>
  <si>
    <t>60.19</t>
  </si>
  <si>
    <t xml:space="preserve"> 14.39</t>
  </si>
  <si>
    <t>12.33</t>
  </si>
  <si>
    <t>2025-08-04T05:50:14.963Z</t>
  </si>
  <si>
    <t>60.96</t>
  </si>
  <si>
    <t xml:space="preserve"> 7.15</t>
  </si>
  <si>
    <t>2025-08-04T05:55:16.502Z</t>
  </si>
  <si>
    <t>60.75</t>
  </si>
  <si>
    <t xml:space="preserve"> 8.49</t>
  </si>
  <si>
    <t>2025-08-04T06:00:13.517Z</t>
  </si>
  <si>
    <t>55.32</t>
  </si>
  <si>
    <t xml:space="preserve"> 6.59</t>
  </si>
  <si>
    <t>12.26</t>
  </si>
  <si>
    <t>2025-08-04T06:05:14.283Z</t>
  </si>
  <si>
    <t>65.07</t>
  </si>
  <si>
    <t xml:space="preserve"> 8.15</t>
  </si>
  <si>
    <t>2025-08-04T06:10:19.632Z</t>
  </si>
  <si>
    <t>54.82</t>
  </si>
  <si>
    <t xml:space="preserve"> 6.90</t>
  </si>
  <si>
    <t>2025-08-04T06:15:17.044Z</t>
  </si>
  <si>
    <t>54.78</t>
  </si>
  <si>
    <t xml:space="preserve"> 14.73</t>
  </si>
  <si>
    <t>12.21</t>
  </si>
  <si>
    <t>2025-08-04T06:20:12.865Z</t>
  </si>
  <si>
    <t>58.75</t>
  </si>
  <si>
    <t xml:space="preserve"> 14.25</t>
  </si>
  <si>
    <t>12.18</t>
  </si>
  <si>
    <t>2025-08-04T06:25:15.298Z</t>
  </si>
  <si>
    <t>71.53</t>
  </si>
  <si>
    <t xml:space="preserve"> 14.30</t>
  </si>
  <si>
    <t>2025-08-04T06:30:15.912Z</t>
  </si>
  <si>
    <t>69.67</t>
  </si>
  <si>
    <t xml:space="preserve"> 14.62</t>
  </si>
  <si>
    <t>12.14</t>
  </si>
  <si>
    <t>2025-08-04T06:35:16.916Z</t>
  </si>
  <si>
    <t>65.85</t>
  </si>
  <si>
    <t xml:space="preserve"> 11.05</t>
  </si>
  <si>
    <t>12.17</t>
  </si>
  <si>
    <t>2025-08-04T06:40:17.909Z</t>
  </si>
  <si>
    <t>53.80</t>
  </si>
  <si>
    <t xml:space="preserve"> 10.52</t>
  </si>
  <si>
    <t>2025-08-04T06:45:15.796Z</t>
  </si>
  <si>
    <t>63.42</t>
  </si>
  <si>
    <t xml:space="preserve"> 11.11</t>
  </si>
  <si>
    <t>12.15</t>
  </si>
  <si>
    <t>2025-08-04T06:50:11.945Z</t>
  </si>
  <si>
    <t>57.61</t>
  </si>
  <si>
    <t xml:space="preserve"> 10.07</t>
  </si>
  <si>
    <t>12.13</t>
  </si>
  <si>
    <t>2025-08-04T06:55:12.659Z</t>
  </si>
  <si>
    <t>50.88</t>
  </si>
  <si>
    <t xml:space="preserve"> 7.08</t>
  </si>
  <si>
    <t>2025-08-04T07:00:12.701Z</t>
  </si>
  <si>
    <t>58.28</t>
  </si>
  <si>
    <t xml:space="preserve"> 13.48</t>
  </si>
  <si>
    <t>2025-08-04T07:05:11.473Z</t>
  </si>
  <si>
    <t>63.67</t>
  </si>
  <si>
    <t xml:space="preserve"> 11.69</t>
  </si>
  <si>
    <t>12.10</t>
  </si>
  <si>
    <t>2025-08-04T07:10:30.448Z</t>
  </si>
  <si>
    <t>68.64</t>
  </si>
  <si>
    <t xml:space="preserve"> 13.45</t>
  </si>
  <si>
    <t>12.08</t>
  </si>
  <si>
    <t>2025-08-04T07:15:14.570Z</t>
  </si>
  <si>
    <t>65.48</t>
  </si>
  <si>
    <t xml:space="preserve"> 12.39</t>
  </si>
  <si>
    <t>12.04</t>
  </si>
  <si>
    <t>2025-08-04T07:20:15.743Z</t>
  </si>
  <si>
    <t>61.39</t>
  </si>
  <si>
    <t xml:space="preserve"> 15.88</t>
  </si>
  <si>
    <t>2025-08-04T07:25:15.973Z</t>
  </si>
  <si>
    <t>59.24</t>
  </si>
  <si>
    <t xml:space="preserve"> 13.42</t>
  </si>
  <si>
    <t>2025-08-04T07:30:14.252Z</t>
  </si>
  <si>
    <t>62.27</t>
  </si>
  <si>
    <t xml:space="preserve"> 14.69</t>
  </si>
  <si>
    <t>2025-08-04T07:35:22.436Z</t>
  </si>
  <si>
    <t>65.32</t>
  </si>
  <si>
    <t xml:space="preserve"> 12.06</t>
  </si>
  <si>
    <t>12.07</t>
  </si>
  <si>
    <t>2025-08-04T07:40:11.685Z</t>
  </si>
  <si>
    <t>64.70</t>
  </si>
  <si>
    <t xml:space="preserve"> 12.88</t>
  </si>
  <si>
    <t>2025-08-05T05:57:00.064Z</t>
  </si>
  <si>
    <t>50.90</t>
  </si>
  <si>
    <t xml:space="preserve"> -5.08</t>
  </si>
  <si>
    <t>11.99</t>
  </si>
  <si>
    <t>2025-08-05T06:03:08.042Z</t>
  </si>
  <si>
    <t>44.77</t>
  </si>
  <si>
    <t xml:space="preserve"> -4.34</t>
  </si>
  <si>
    <t>11.98</t>
  </si>
  <si>
    <t>2025-08-05T06:04:27.070Z</t>
  </si>
  <si>
    <t>43.84</t>
  </si>
  <si>
    <t xml:space="preserve"> -4.62</t>
  </si>
  <si>
    <t>2025-08-05T06:16:32.811Z</t>
  </si>
  <si>
    <t>48.80</t>
  </si>
  <si>
    <t xml:space="preserve"> 1.00</t>
  </si>
  <si>
    <t>11.95</t>
  </si>
  <si>
    <t>2025-08-05T06:43:17.146Z</t>
  </si>
  <si>
    <t>63.13</t>
  </si>
  <si>
    <t xml:space="preserve"> 2.21</t>
  </si>
  <si>
    <t>11.83</t>
  </si>
  <si>
    <t>2025-08-05T06:44:30.786Z</t>
  </si>
  <si>
    <t>63.05</t>
  </si>
  <si>
    <t xml:space="preserve"> 2.19</t>
  </si>
  <si>
    <t>11.84</t>
  </si>
  <si>
    <t>2025-08-05T06:47:21.283Z</t>
  </si>
  <si>
    <t>68.71</t>
  </si>
  <si>
    <t xml:space="preserve"> 5.36</t>
  </si>
  <si>
    <t>2025-08-05T06:50:11.664Z</t>
  </si>
  <si>
    <t>71.96</t>
  </si>
  <si>
    <t xml:space="preserve"> 5.93</t>
  </si>
  <si>
    <t>11.82</t>
  </si>
  <si>
    <t>2025-08-05T06:55:10.969Z</t>
  </si>
  <si>
    <t>63.83</t>
  </si>
  <si>
    <t xml:space="preserve"> 5.35</t>
  </si>
  <si>
    <t>2025-08-05T07:00:10.592Z</t>
  </si>
  <si>
    <t>58.00</t>
  </si>
  <si>
    <t xml:space="preserve"> 5.26</t>
  </si>
  <si>
    <t>2025-08-05T07:15:11.836Z</t>
  </si>
  <si>
    <t>67.30</t>
  </si>
  <si>
    <t xml:space="preserve"> 6.00</t>
  </si>
  <si>
    <t>11.78</t>
  </si>
  <si>
    <t>2025-08-05T07:20:13.075Z</t>
  </si>
  <si>
    <t>56.39</t>
  </si>
  <si>
    <t xml:space="preserve"> 7.01</t>
  </si>
  <si>
    <t>11.79</t>
  </si>
  <si>
    <t>2025-08-05T07:25:11.348Z</t>
  </si>
  <si>
    <t>49.89</t>
  </si>
  <si>
    <t xml:space="preserve"> 6.24</t>
  </si>
  <si>
    <t>2025-08-05T07:30:11.255Z</t>
  </si>
  <si>
    <t>53.30</t>
  </si>
  <si>
    <t xml:space="preserve"> 3.65</t>
  </si>
  <si>
    <t>2025-08-05T07:35:10.491Z</t>
  </si>
  <si>
    <t>49.00</t>
  </si>
  <si>
    <t xml:space="preserve"> 2.99</t>
  </si>
  <si>
    <t>11.81</t>
  </si>
  <si>
    <t>2025-08-05T07:40:12.576Z</t>
  </si>
  <si>
    <t>49.68</t>
  </si>
  <si>
    <t xml:space="preserve"> 1.08</t>
  </si>
  <si>
    <t>2025-08-05T07:45:11.001Z</t>
  </si>
  <si>
    <t>50.86</t>
  </si>
  <si>
    <t xml:space="preserve"> 2.32</t>
  </si>
  <si>
    <t>2025-08-05T07:50:10.890Z</t>
  </si>
  <si>
    <t>46.58</t>
  </si>
  <si>
    <t xml:space="preserve"> -2.13</t>
  </si>
  <si>
    <t>11.86</t>
  </si>
  <si>
    <t>2025-08-05T07:55:10.090Z</t>
  </si>
  <si>
    <t>20.73</t>
  </si>
  <si>
    <t xml:space="preserve"> -5.00</t>
  </si>
  <si>
    <t>11.96</t>
  </si>
  <si>
    <t>2025-08-05T08:00:11.720Z</t>
  </si>
  <si>
    <t>20.54</t>
  </si>
  <si>
    <t xml:space="preserve"> -7.22</t>
  </si>
  <si>
    <t>2025-08-05T08:15:16.428Z</t>
  </si>
  <si>
    <t>30.28</t>
  </si>
  <si>
    <t xml:space="preserve"> -6.85</t>
  </si>
  <si>
    <t>11.91</t>
  </si>
  <si>
    <t>2025-08-05T08:20:11.461Z</t>
  </si>
  <si>
    <t>33.41</t>
  </si>
  <si>
    <t xml:space="preserve"> -6.88</t>
  </si>
  <si>
    <t>2025-08-05T08:25:10.730Z</t>
  </si>
  <si>
    <t>35.10</t>
  </si>
  <si>
    <t xml:space="preserve"> -5.96</t>
  </si>
  <si>
    <t>2025-08-05T08:30:10.497Z</t>
  </si>
  <si>
    <t>39.18</t>
  </si>
  <si>
    <t xml:space="preserve"> -4.75</t>
  </si>
  <si>
    <t>2025-08-05T08:35:12.891Z</t>
  </si>
  <si>
    <t>38.56</t>
  </si>
  <si>
    <t xml:space="preserve"> -4.29</t>
  </si>
  <si>
    <t>11.85</t>
  </si>
  <si>
    <t>2025-08-05T08:40:11.845Z</t>
  </si>
  <si>
    <t>29.44</t>
  </si>
  <si>
    <t xml:space="preserve"> -5.43</t>
  </si>
  <si>
    <t>11.88</t>
  </si>
  <si>
    <t>2025-08-05T08:45:10.921Z</t>
  </si>
  <si>
    <t>41.53</t>
  </si>
  <si>
    <t xml:space="preserve"> -9.54</t>
  </si>
  <si>
    <t>2025-08-05T08:50:12.304Z</t>
  </si>
  <si>
    <t>44.51</t>
  </si>
  <si>
    <t xml:space="preserve"> -8.33</t>
  </si>
  <si>
    <t>2025-08-05T08:55:09.417Z</t>
  </si>
  <si>
    <t>41.47</t>
  </si>
  <si>
    <t>2025-08-05T09:00:11.268Z</t>
  </si>
  <si>
    <t>59.37</t>
  </si>
  <si>
    <t xml:space="preserve"> -6.77</t>
  </si>
  <si>
    <t>2025-08-05T09:05:27.788Z</t>
  </si>
  <si>
    <t>54.72</t>
  </si>
  <si>
    <t xml:space="preserve"> -5.05</t>
  </si>
  <si>
    <t>2025-08-05T09:10:12.006Z</t>
  </si>
  <si>
    <t>57.34</t>
  </si>
  <si>
    <t xml:space="preserve"> -3.49</t>
  </si>
  <si>
    <t>2025-08-05T09:15:12.510Z</t>
  </si>
  <si>
    <t>55.60</t>
  </si>
  <si>
    <t xml:space="preserve"> -3.47</t>
  </si>
  <si>
    <t>11.76</t>
  </si>
  <si>
    <t>2025-08-05T09:20:09.486Z</t>
  </si>
  <si>
    <t>49.31</t>
  </si>
  <si>
    <t xml:space="preserve"> -4.12</t>
  </si>
  <si>
    <t>2025-08-05T09:25:19.281Z</t>
  </si>
  <si>
    <t>44.57</t>
  </si>
  <si>
    <t xml:space="preserve"> -3.84</t>
  </si>
  <si>
    <t>2025-08-05T09:30:11.910Z</t>
  </si>
  <si>
    <t>44.40</t>
  </si>
  <si>
    <t xml:space="preserve"> -4.03</t>
  </si>
  <si>
    <t>11.80</t>
  </si>
  <si>
    <t>2025-08-05T09:35:11.949Z</t>
  </si>
  <si>
    <t>50.79</t>
  </si>
  <si>
    <t xml:space="preserve"> -0.32</t>
  </si>
  <si>
    <t>11.75</t>
  </si>
  <si>
    <t>2025-08-05T09:40:12.288Z</t>
  </si>
  <si>
    <t>62.95</t>
  </si>
  <si>
    <t xml:space="preserve"> 4.82</t>
  </si>
  <si>
    <t>11.68</t>
  </si>
  <si>
    <t>2025-08-05T09:45:11.046Z</t>
  </si>
  <si>
    <t>71.65</t>
  </si>
  <si>
    <t xml:space="preserve"> 7.84</t>
  </si>
  <si>
    <t>11.69</t>
  </si>
  <si>
    <t>2025-08-05T09:50:13.118Z</t>
  </si>
  <si>
    <t>67.10</t>
  </si>
  <si>
    <t xml:space="preserve"> 9.56</t>
  </si>
  <si>
    <t>11.71</t>
  </si>
  <si>
    <t>2025-08-05T09:55:10.509Z</t>
  </si>
  <si>
    <t>62.32</t>
  </si>
  <si>
    <t xml:space="preserve"> 12.44</t>
  </si>
  <si>
    <t>11.67</t>
  </si>
  <si>
    <t>2025-08-05T10:00:10.977Z</t>
  </si>
  <si>
    <t>60.00</t>
  </si>
  <si>
    <t xml:space="preserve"> 12.00</t>
  </si>
  <si>
    <t>11.65</t>
  </si>
  <si>
    <t>2025-08-05T10:05:14.935Z</t>
  </si>
  <si>
    <t>2025-08-05T10:10:11.555Z</t>
  </si>
  <si>
    <t>2025-08-05T10:15:13.522Z</t>
  </si>
  <si>
    <t>2025-08-05T10:20:13.381Z</t>
  </si>
  <si>
    <t>2025-08-05T10:25:10.598Z</t>
  </si>
  <si>
    <t>2025-08-06T20:06:02.661Z</t>
  </si>
  <si>
    <t>40.86</t>
  </si>
  <si>
    <t xml:space="preserve"> -7.77</t>
  </si>
  <si>
    <t>2025-08-06T20:11:24.224Z</t>
  </si>
  <si>
    <t>2025-08-06T20:18:27.489Z</t>
  </si>
  <si>
    <t>2025-08-06T21:03:41.979Z</t>
  </si>
  <si>
    <t>2025-08-06T21:13:04.042Z</t>
  </si>
  <si>
    <t>Weak Volume</t>
  </si>
  <si>
    <t>Bearish Engulfing</t>
  </si>
  <si>
    <t>2025-08-06T21:17:57.037Z</t>
  </si>
  <si>
    <t>2025-08-06T21:18:35.416Z</t>
  </si>
  <si>
    <t>2025-08-06T21:21:19.486Z</t>
  </si>
  <si>
    <t>2025-08-06T21:23:36.686Z</t>
  </si>
  <si>
    <t>2025-08-06T21:24:51.236Z</t>
  </si>
  <si>
    <t>2025-08-06T21:30:25.032Z</t>
  </si>
  <si>
    <t>2025-08-06T21:42:49.686Z</t>
  </si>
  <si>
    <t>2025-08-07T03:50:18.873Z</t>
  </si>
  <si>
    <t>29.27</t>
  </si>
  <si>
    <t xml:space="preserve"> -15.60</t>
  </si>
  <si>
    <t>11.92</t>
  </si>
  <si>
    <t>Bearish Marubozu</t>
  </si>
  <si>
    <t>2025-08-07T04:00:16.211Z</t>
  </si>
  <si>
    <t>39.21</t>
  </si>
  <si>
    <t xml:space="preserve"> -18.52</t>
  </si>
  <si>
    <t>11.77</t>
  </si>
  <si>
    <t>Bullish Marubozu</t>
  </si>
  <si>
    <t>2025-08-07T04:05:13.446Z</t>
  </si>
  <si>
    <t>37.27</t>
  </si>
  <si>
    <t xml:space="preserve"> -18.79</t>
  </si>
  <si>
    <t>2025-08-07T04:10:11.844Z</t>
  </si>
  <si>
    <t>34.84</t>
  </si>
  <si>
    <t xml:space="preserve"> -18.74</t>
  </si>
  <si>
    <t>2025-08-07T04:15:11.111Z</t>
  </si>
  <si>
    <t>26.57</t>
  </si>
  <si>
    <t xml:space="preserve"> -20.74</t>
  </si>
  <si>
    <t>2025-08-07T04:20:11.403Z</t>
  </si>
  <si>
    <t>28.34</t>
  </si>
  <si>
    <t xml:space="preserve"> -20.58</t>
  </si>
  <si>
    <t>2025-08-07T04:25:10.537Z</t>
  </si>
  <si>
    <t>29.51</t>
  </si>
  <si>
    <t xml:space="preserve"> -21.25</t>
  </si>
  <si>
    <t>2025-08-07T04:30:11.082Z</t>
  </si>
  <si>
    <t>19.93</t>
  </si>
  <si>
    <t xml:space="preserve"> -23.16</t>
  </si>
  <si>
    <t>2025-08-07T04:35:13.976Z</t>
  </si>
  <si>
    <t>19.78</t>
  </si>
  <si>
    <t xml:space="preserve"> -25.44</t>
  </si>
  <si>
    <t>11.90</t>
  </si>
  <si>
    <t>2025-08-07T04:40:10.811Z</t>
  </si>
  <si>
    <t>19.48</t>
  </si>
  <si>
    <t xml:space="preserve"> -27.12</t>
  </si>
  <si>
    <t>2025-08-07T04:45:10.419Z</t>
  </si>
  <si>
    <t>18.43</t>
  </si>
  <si>
    <t xml:space="preserve"> -24.67</t>
  </si>
  <si>
    <t>11.93</t>
  </si>
  <si>
    <t>2025-08-07T04:50:09.901Z</t>
  </si>
  <si>
    <t>23.01</t>
  </si>
  <si>
    <t xml:space="preserve"> -22.87</t>
  </si>
  <si>
    <t>11.89</t>
  </si>
  <si>
    <t>2025-08-07T04:55:11.161Z</t>
  </si>
  <si>
    <t>32.41</t>
  </si>
  <si>
    <t xml:space="preserve"> -21.86</t>
  </si>
  <si>
    <t>2025-08-07T05:00:16.008Z</t>
  </si>
  <si>
    <t>28.77</t>
  </si>
  <si>
    <t xml:space="preserve"> -25.48</t>
  </si>
  <si>
    <t>Hammer</t>
  </si>
  <si>
    <t>2025-08-07T05:05:09.360Z</t>
  </si>
  <si>
    <t>13.14</t>
  </si>
  <si>
    <t xml:space="preserve"> -28.45</t>
  </si>
  <si>
    <t>12.00</t>
  </si>
  <si>
    <t>2025-08-07T05:10:11.218Z</t>
  </si>
  <si>
    <t>14.14</t>
  </si>
  <si>
    <t xml:space="preserve"> -31.14</t>
  </si>
  <si>
    <t>12.05</t>
  </si>
  <si>
    <t>2025-08-07T05:15:11.348Z</t>
  </si>
  <si>
    <t>13.75</t>
  </si>
  <si>
    <t xml:space="preserve"> -30.09</t>
  </si>
  <si>
    <t>2025-08-07T05:20:13.560Z</t>
  </si>
  <si>
    <t>13.18</t>
  </si>
  <si>
    <t xml:space="preserve"> -32.73</t>
  </si>
  <si>
    <t>12.12</t>
  </si>
  <si>
    <t>2025-08-07T05:25:10.681Z</t>
  </si>
  <si>
    <t>13.66</t>
  </si>
  <si>
    <t xml:space="preserve"> -34.83</t>
  </si>
  <si>
    <t>2025-08-07T05:30:09.962Z</t>
  </si>
  <si>
    <t>21.93</t>
  </si>
  <si>
    <t xml:space="preserve"> -32.35</t>
  </si>
  <si>
    <t>2025-08-07T05:35:10.886Z</t>
  </si>
  <si>
    <t>18.13</t>
  </si>
  <si>
    <t xml:space="preserve"> -34.37</t>
  </si>
  <si>
    <t>2025-08-07T05:40:10.742Z</t>
  </si>
  <si>
    <t>21.51</t>
  </si>
  <si>
    <t xml:space="preserve"> -34.58</t>
  </si>
  <si>
    <t>12.19</t>
  </si>
  <si>
    <t>Doji</t>
  </si>
  <si>
    <t>2025-08-07T05:45:11.755Z</t>
  </si>
  <si>
    <t>23.14</t>
  </si>
  <si>
    <t xml:space="preserve"> -32.30</t>
  </si>
  <si>
    <t>2025-08-07T05:50:10.922Z</t>
  </si>
  <si>
    <t>25.88</t>
  </si>
  <si>
    <t xml:space="preserve"> -24.05</t>
  </si>
  <si>
    <t>2025-08-07T05:55:10.803Z</t>
  </si>
  <si>
    <t>25.22</t>
  </si>
  <si>
    <t xml:space="preserve"> -20.27</t>
  </si>
  <si>
    <t>2025-08-07T06:00:11.791Z</t>
  </si>
  <si>
    <t>25.47</t>
  </si>
  <si>
    <t xml:space="preserve"> -22.02</t>
  </si>
  <si>
    <t>2025-08-07T06:05:11.667Z</t>
  </si>
  <si>
    <t>33.05</t>
  </si>
  <si>
    <t xml:space="preserve"> -20.49</t>
  </si>
  <si>
    <t>2025-08-07T06:10:10.159Z</t>
  </si>
  <si>
    <t>51.36</t>
  </si>
  <si>
    <t xml:space="preserve"> -16.33</t>
  </si>
  <si>
    <t>2025-08-07T06:15:11.206Z</t>
  </si>
  <si>
    <t>44.73</t>
  </si>
  <si>
    <t xml:space="preserve"> -15.30</t>
  </si>
  <si>
    <t>2025-08-07T06:20:09.459Z</t>
  </si>
  <si>
    <t>43.87</t>
  </si>
  <si>
    <t xml:space="preserve"> -14.53</t>
  </si>
  <si>
    <t>2025-08-07T06:25:10.505Z</t>
  </si>
  <si>
    <t>54.12</t>
  </si>
  <si>
    <t xml:space="preserve"> -13.68</t>
  </si>
  <si>
    <t>2025-08-07T06:30:12.107Z</t>
  </si>
  <si>
    <t>55.06</t>
  </si>
  <si>
    <t xml:space="preserve"> -9.71</t>
  </si>
  <si>
    <t>2025-08-07T06:35:14.864Z</t>
  </si>
  <si>
    <t>54.76</t>
  </si>
  <si>
    <t xml:space="preserve"> -7.23</t>
  </si>
  <si>
    <t>2025-08-07T06:40:09.195Z</t>
  </si>
  <si>
    <t>61.03</t>
  </si>
  <si>
    <t xml:space="preserve"> -6.64</t>
  </si>
  <si>
    <t>2025-08-07T06:45:10.334Z</t>
  </si>
  <si>
    <t>65.12</t>
  </si>
  <si>
    <t xml:space="preserve"> -4.80</t>
  </si>
  <si>
    <t>2025-08-07T06:50:12.222Z</t>
  </si>
  <si>
    <t>65.22</t>
  </si>
  <si>
    <t xml:space="preserve"> -4.59</t>
  </si>
  <si>
    <t>2025-08-07T06:55:10.311Z</t>
  </si>
  <si>
    <t>57.21</t>
  </si>
  <si>
    <t xml:space="preserve"> -4.02</t>
  </si>
  <si>
    <t>2025-08-07T07:00:10.020Z</t>
  </si>
  <si>
    <t>56.43</t>
  </si>
  <si>
    <t xml:space="preserve"> 0.31</t>
  </si>
  <si>
    <t>2025-08-07T07:05:11.016Z</t>
  </si>
  <si>
    <t>53.94</t>
  </si>
  <si>
    <t xml:space="preserve"> 1.09</t>
  </si>
  <si>
    <t>2025-08-07T07:10:12.260Z</t>
  </si>
  <si>
    <t>62.57</t>
  </si>
  <si>
    <t xml:space="preserve"> 3.24</t>
  </si>
  <si>
    <t>2025-08-07T07:15:10.319Z</t>
  </si>
  <si>
    <t>46.14</t>
  </si>
  <si>
    <t xml:space="preserve"> 2.35</t>
  </si>
  <si>
    <t>2025-08-07T07:20:11.496Z</t>
  </si>
  <si>
    <t>50.76</t>
  </si>
  <si>
    <t xml:space="preserve"> 2.94</t>
  </si>
  <si>
    <t>12.01</t>
  </si>
  <si>
    <t>2025-08-07T07:25:11.921Z</t>
  </si>
  <si>
    <t>55.49</t>
  </si>
  <si>
    <t xml:space="preserve"> 3.33</t>
  </si>
  <si>
    <t>12.02</t>
  </si>
  <si>
    <t>2025-08-07T07:30:10.479Z</t>
  </si>
  <si>
    <t>55.44</t>
  </si>
  <si>
    <t xml:space="preserve"> 2.45</t>
  </si>
  <si>
    <t>2025-08-07T07:35:11.405Z</t>
  </si>
  <si>
    <t>55.27</t>
  </si>
  <si>
    <t xml:space="preserve"> 4.48</t>
  </si>
  <si>
    <t>2025-08-07T07:40:10.598Z</t>
  </si>
  <si>
    <t>38.41</t>
  </si>
  <si>
    <t xml:space="preserve"> 0.52</t>
  </si>
  <si>
    <t>2025-08-07T07:45:13.166Z</t>
  </si>
  <si>
    <t>37.73</t>
  </si>
  <si>
    <t xml:space="preserve"> -1.83</t>
  </si>
  <si>
    <t>12.11</t>
  </si>
  <si>
    <t>2025-08-07T07:50:10.894Z</t>
  </si>
  <si>
    <t>29.00</t>
  </si>
  <si>
    <t>12.16</t>
  </si>
  <si>
    <t>2025-08-07T07:55:10.255Z</t>
  </si>
  <si>
    <t>19.75</t>
  </si>
  <si>
    <t xml:space="preserve"> -11.96</t>
  </si>
  <si>
    <t>2025-08-07T08:00:09.860Z</t>
  </si>
  <si>
    <t>20.84</t>
  </si>
  <si>
    <t xml:space="preserve"> -14.61</t>
  </si>
  <si>
    <t>12.20</t>
  </si>
  <si>
    <t>2025-08-07T08:05:09.267Z</t>
  </si>
  <si>
    <t>18.97</t>
  </si>
  <si>
    <t xml:space="preserve"> -16.53</t>
  </si>
  <si>
    <t>12.27</t>
  </si>
  <si>
    <t>2025-08-07T08:10:09.795Z</t>
  </si>
  <si>
    <t>20.72</t>
  </si>
  <si>
    <t xml:space="preserve"> -20.46</t>
  </si>
  <si>
    <t>12.29</t>
  </si>
  <si>
    <t>2025-08-07T08:15:10.310Z</t>
  </si>
  <si>
    <t>28.60</t>
  </si>
  <si>
    <t xml:space="preserve"> -15.13</t>
  </si>
  <si>
    <t>2025-08-07T08:20:11.067Z</t>
  </si>
  <si>
    <t>28.95</t>
  </si>
  <si>
    <t xml:space="preserve"> -15.38</t>
  </si>
  <si>
    <t>2025-08-07T08:25:08.881Z</t>
  </si>
  <si>
    <t>34.23</t>
  </si>
  <si>
    <t xml:space="preserve"> -14.70</t>
  </si>
  <si>
    <t>2025-08-07T08:30:11.969Z</t>
  </si>
  <si>
    <t>35.48</t>
  </si>
  <si>
    <t xml:space="preserve"> -12.81</t>
  </si>
  <si>
    <t>2025-08-07T08:35:10.204Z</t>
  </si>
  <si>
    <t>39.36</t>
  </si>
  <si>
    <t xml:space="preserve"> -10.76</t>
  </si>
  <si>
    <t>12.09</t>
  </si>
  <si>
    <t>2025-08-07T08:40:10.968Z</t>
  </si>
  <si>
    <t>43.29</t>
  </si>
  <si>
    <t xml:space="preserve"> -7.06</t>
  </si>
  <si>
    <t>2025-08-07T08:45:11.137Z</t>
  </si>
  <si>
    <t>55.05</t>
  </si>
  <si>
    <t xml:space="preserve"> -4.95</t>
  </si>
  <si>
    <t>2025-08-07T08:50:12.214Z</t>
  </si>
  <si>
    <t>67.91</t>
  </si>
  <si>
    <t xml:space="preserve"> 3.06</t>
  </si>
  <si>
    <t>2025-08-07T08:55:12.046Z</t>
  </si>
  <si>
    <t>63.01</t>
  </si>
  <si>
    <t xml:space="preserve"> 5.58</t>
  </si>
  <si>
    <t>2025-08-07T09:00:10.685Z</t>
  </si>
  <si>
    <t>82.24</t>
  </si>
  <si>
    <t xml:space="preserve"> 9.62</t>
  </si>
  <si>
    <t>2025-08-07T09:05:12.541Z</t>
  </si>
  <si>
    <t>86.29</t>
  </si>
  <si>
    <t xml:space="preserve"> 13.96</t>
  </si>
  <si>
    <t>2025-08-07T09:10:11.632Z</t>
  </si>
  <si>
    <t>87.74</t>
  </si>
  <si>
    <t xml:space="preserve"> 16.50</t>
  </si>
  <si>
    <t>2025-08-07T09:15:10.801Z</t>
  </si>
  <si>
    <t>89.13</t>
  </si>
  <si>
    <t xml:space="preserve"> 23.02</t>
  </si>
  <si>
    <t>2025-08-07T09:20:09.605Z</t>
  </si>
  <si>
    <t>87.78</t>
  </si>
  <si>
    <t xml:space="preserve"> 27.26</t>
  </si>
  <si>
    <t>2025-08-07T09:25:11.971Z</t>
  </si>
  <si>
    <t>92.75</t>
  </si>
  <si>
    <t xml:space="preserve"> 30.30</t>
  </si>
  <si>
    <t>2025-08-07T09:30:10.865Z</t>
  </si>
  <si>
    <t>92.74</t>
  </si>
  <si>
    <t xml:space="preserve"> 32.31</t>
  </si>
  <si>
    <t>2025-08-07T09:35:10.992Z</t>
  </si>
  <si>
    <t>93.52</t>
  </si>
  <si>
    <t xml:space="preserve"> 37.71</t>
  </si>
  <si>
    <t>2025-08-07T09:40:11.175Z</t>
  </si>
  <si>
    <t>92.14</t>
  </si>
  <si>
    <t xml:space="preserve"> 44.58</t>
  </si>
  <si>
    <t>11.74</t>
  </si>
  <si>
    <t>2025-08-07T09:45:10.830Z</t>
  </si>
  <si>
    <t>93.50</t>
  </si>
  <si>
    <t xml:space="preserve"> 48.67</t>
  </si>
  <si>
    <t>11.70</t>
  </si>
  <si>
    <t>2025-08-07T09:50:10.008Z</t>
  </si>
  <si>
    <t>93.33</t>
  </si>
  <si>
    <t xml:space="preserve"> 51.35</t>
  </si>
  <si>
    <t>2025-08-07T09:55:11.079Z</t>
  </si>
  <si>
    <t>92.51</t>
  </si>
  <si>
    <t xml:space="preserve"> 60.80</t>
  </si>
  <si>
    <t>11.64</t>
  </si>
  <si>
    <t>2025-08-07T10:00:10.052Z</t>
  </si>
  <si>
    <t>91.66</t>
  </si>
  <si>
    <t xml:space="preserve"> 60.66</t>
  </si>
  <si>
    <t>11.58</t>
  </si>
  <si>
    <t>2025-08-08T04:45:14.424Z</t>
  </si>
  <si>
    <t>5.30</t>
  </si>
  <si>
    <t xml:space="preserve"> -16.47</t>
  </si>
  <si>
    <t>11.94</t>
  </si>
  <si>
    <t>No Clear Pattern</t>
  </si>
  <si>
    <t>2025-08-08T04:50:12.688Z</t>
  </si>
  <si>
    <t>9.06</t>
  </si>
  <si>
    <t xml:space="preserve"> -18.01</t>
  </si>
  <si>
    <t>Inverted Hammer</t>
  </si>
  <si>
    <t>2025-08-08T04:55:13.236Z</t>
  </si>
  <si>
    <t>17.35</t>
  </si>
  <si>
    <t xml:space="preserve"> -19.24</t>
  </si>
  <si>
    <t>2025-08-08T05:00:14.424Z</t>
  </si>
  <si>
    <t>19.31</t>
  </si>
  <si>
    <t xml:space="preserve"> -21.22</t>
  </si>
  <si>
    <t>2025-08-08T05:10:12.678Z</t>
  </si>
  <si>
    <t>21.63</t>
  </si>
  <si>
    <t xml:space="preserve"> -27.97</t>
  </si>
  <si>
    <t>2025-08-08T05:15:13.258Z</t>
  </si>
  <si>
    <t>18.64</t>
  </si>
  <si>
    <t xml:space="preserve"> -28.09</t>
  </si>
  <si>
    <t>2025-08-08T05:20:12.016Z</t>
  </si>
  <si>
    <t>20.40</t>
  </si>
  <si>
    <t xml:space="preserve"> -33.08</t>
  </si>
  <si>
    <t>2025-08-08T05:25:12.732Z</t>
  </si>
  <si>
    <t>29.49</t>
  </si>
  <si>
    <t xml:space="preserve"> -33.42</t>
  </si>
  <si>
    <t>2025-08-08T05:30:12.466Z</t>
  </si>
  <si>
    <t>24.76</t>
  </si>
  <si>
    <t xml:space="preserve"> -35.16</t>
  </si>
  <si>
    <t>2025-08-08T05:35:14.790Z</t>
  </si>
  <si>
    <t>29.36</t>
  </si>
  <si>
    <t xml:space="preserve"> -35.44</t>
  </si>
  <si>
    <t>2025-08-08T05:40:12.226Z</t>
  </si>
  <si>
    <t>39.42</t>
  </si>
  <si>
    <t xml:space="preserve"> -36.61</t>
  </si>
  <si>
    <t>2025-08-08T05:45:13.397Z</t>
  </si>
  <si>
    <t>45.72</t>
  </si>
  <si>
    <t>2025-08-08T05:50:12.198Z</t>
  </si>
  <si>
    <t>50.47</t>
  </si>
  <si>
    <t xml:space="preserve"> -23.12</t>
  </si>
  <si>
    <t>2025-08-08T05:55:13.507Z</t>
  </si>
  <si>
    <t>40.46</t>
  </si>
  <si>
    <t xml:space="preserve"> -21.91</t>
  </si>
  <si>
    <t>2025-08-08T06:00:13.457Z</t>
  </si>
  <si>
    <t>34.93</t>
  </si>
  <si>
    <t xml:space="preserve"> -15.49</t>
  </si>
  <si>
    <t>2025-08-08T06:20:12.086Z</t>
  </si>
  <si>
    <t>48.29</t>
  </si>
  <si>
    <t xml:space="preserve"> -9.09</t>
  </si>
  <si>
    <t>2025-08-08T06:25:12.893Z</t>
  </si>
  <si>
    <t>57.67</t>
  </si>
  <si>
    <t xml:space="preserve"> -7.73</t>
  </si>
  <si>
    <t>2025-08-08T06:30:12.669Z</t>
  </si>
  <si>
    <t>48.47</t>
  </si>
  <si>
    <t xml:space="preserve"> -6.78</t>
  </si>
  <si>
    <t>2025-08-08T06:35:14.297Z</t>
  </si>
  <si>
    <t>42.57</t>
  </si>
  <si>
    <t xml:space="preserve"> -7.59</t>
  </si>
  <si>
    <t>2025-08-08T06:40:16.640Z</t>
  </si>
  <si>
    <t>44.33</t>
  </si>
  <si>
    <t xml:space="preserve"> -7.40</t>
  </si>
  <si>
    <t>2025-08-08T06:45:12.309Z</t>
  </si>
  <si>
    <t>46.36</t>
  </si>
  <si>
    <t xml:space="preserve"> -6.30</t>
  </si>
  <si>
    <t>2025-08-08T06:50:14.684Z</t>
  </si>
  <si>
    <t>41.08</t>
  </si>
  <si>
    <t xml:space="preserve"> -7.65</t>
  </si>
  <si>
    <t>2025-08-08T06:55:14.116Z</t>
  </si>
  <si>
    <t>37.90</t>
  </si>
  <si>
    <t xml:space="preserve"> -8.39</t>
  </si>
  <si>
    <t>2025-08-08T07:00:13.228Z</t>
  </si>
  <si>
    <t>51.11</t>
  </si>
  <si>
    <t xml:space="preserve"> -6.11</t>
  </si>
  <si>
    <t>2025-08-08T07:05:13.474Z</t>
  </si>
  <si>
    <t>51.08</t>
  </si>
  <si>
    <t xml:space="preserve"> -2.33</t>
  </si>
  <si>
    <t>2025-08-08T07:10:12.953Z</t>
  </si>
  <si>
    <t>44.69</t>
  </si>
  <si>
    <t xml:space="preserve"> -1.50</t>
  </si>
  <si>
    <t>2025-08-08T07:15:15.156Z</t>
  </si>
  <si>
    <t>53.95</t>
  </si>
  <si>
    <t xml:space="preserve"> -0.55</t>
  </si>
  <si>
    <t>2025-08-08T07:20:13.211Z</t>
  </si>
  <si>
    <t>58.24</t>
  </si>
  <si>
    <t xml:space="preserve"> 3.14</t>
  </si>
  <si>
    <t>11.87</t>
  </si>
  <si>
    <t>2025-08-08T07:25:18.486Z</t>
  </si>
  <si>
    <t>63.58</t>
  </si>
  <si>
    <t>2025-08-08T07:30:13.348Z</t>
  </si>
  <si>
    <t>56.19</t>
  </si>
  <si>
    <t xml:space="preserve"> 7.55</t>
  </si>
  <si>
    <t>2025-08-08T07:35:12.302Z</t>
  </si>
  <si>
    <t>51.40</t>
  </si>
  <si>
    <t xml:space="preserve"> 6.54</t>
  </si>
  <si>
    <t>2025-08-08T07:40:11.329Z</t>
  </si>
  <si>
    <t>63.43</t>
  </si>
  <si>
    <t xml:space="preserve"> 3.73</t>
  </si>
  <si>
    <t>2025-08-08T07:45:15.523Z</t>
  </si>
  <si>
    <t>59.33</t>
  </si>
  <si>
    <t xml:space="preserve"> 1.90</t>
  </si>
  <si>
    <t>2025-08-08T07:55:12.639Z</t>
  </si>
  <si>
    <t>59.57</t>
  </si>
  <si>
    <t xml:space="preserve"> 2.71</t>
  </si>
  <si>
    <t>2025-08-08T08:00:12.484Z</t>
  </si>
  <si>
    <t>50.98</t>
  </si>
  <si>
    <t xml:space="preserve"> 0.51</t>
  </si>
  <si>
    <t>2025-08-08T08:05:13.584Z</t>
  </si>
  <si>
    <t xml:space="preserve"> 2.27</t>
  </si>
  <si>
    <t>2025-08-08T08:10:13.469Z</t>
  </si>
  <si>
    <t>58.47</t>
  </si>
  <si>
    <t xml:space="preserve"> 5.37</t>
  </si>
  <si>
    <t>2025-08-08T08:15:12.655Z</t>
  </si>
  <si>
    <t>61.18</t>
  </si>
  <si>
    <t xml:space="preserve"> 5.49</t>
  </si>
  <si>
    <t>2025-08-08T08:20:13.606Z</t>
  </si>
  <si>
    <t>47.95</t>
  </si>
  <si>
    <t xml:space="preserve"> 1.89</t>
  </si>
  <si>
    <t>2025-08-08T08:25:14.796Z</t>
  </si>
  <si>
    <t>42.56</t>
  </si>
  <si>
    <t xml:space="preserve"> -0.48</t>
  </si>
  <si>
    <t>2025-08-08T08:30:13.129Z</t>
  </si>
  <si>
    <t>30.78</t>
  </si>
  <si>
    <t xml:space="preserve"> -0.75</t>
  </si>
  <si>
    <t>2025-08-08T08:35:10.866Z</t>
  </si>
  <si>
    <t>38.60</t>
  </si>
  <si>
    <t>2025-08-08T08:40:13.032Z</t>
  </si>
  <si>
    <t>41.62</t>
  </si>
  <si>
    <t xml:space="preserve"> 0.75</t>
  </si>
  <si>
    <t>2025-08-08T08:45:16.401Z</t>
  </si>
  <si>
    <t xml:space="preserve"> -2.95</t>
  </si>
  <si>
    <t>2025-08-08T08:50:12.750Z</t>
  </si>
  <si>
    <t>48.58</t>
  </si>
  <si>
    <t xml:space="preserve"> -0.85</t>
  </si>
  <si>
    <t>2025-08-08T08:55:13.601Z</t>
  </si>
  <si>
    <t>44.70</t>
  </si>
  <si>
    <t xml:space="preserve"> -2.20</t>
  </si>
  <si>
    <t>2025-08-08T09:00:11.418Z</t>
  </si>
  <si>
    <t>37.88</t>
  </si>
  <si>
    <t xml:space="preserve"> -7.47</t>
  </si>
  <si>
    <t>2025-08-08T09:05:13.356Z</t>
  </si>
  <si>
    <t>39.05</t>
  </si>
  <si>
    <t>2025-08-08T09:10:12.319Z</t>
  </si>
  <si>
    <t xml:space="preserve"> -7.19</t>
  </si>
  <si>
    <t>2025-08-08T09:15:14.141Z</t>
  </si>
  <si>
    <t>35.16</t>
  </si>
  <si>
    <t xml:space="preserve"> -7.15</t>
  </si>
  <si>
    <t>2025-08-08T09:20:11.168Z</t>
  </si>
  <si>
    <t>33.97</t>
  </si>
  <si>
    <t xml:space="preserve"> -8.70</t>
  </si>
  <si>
    <t>2025-08-08T09:25:17.437Z</t>
  </si>
  <si>
    <t>39.84</t>
  </si>
  <si>
    <t xml:space="preserve"> -12.01</t>
  </si>
  <si>
    <t>2025-08-08T09:30:14.535Z</t>
  </si>
  <si>
    <t>40.43</t>
  </si>
  <si>
    <t xml:space="preserve"> -10.78</t>
  </si>
  <si>
    <t>2025-08-08T09:35:13.653Z</t>
  </si>
  <si>
    <t>38.17</t>
  </si>
  <si>
    <t xml:space="preserve"> -10.51</t>
  </si>
  <si>
    <t>2025-08-08T09:40:11.303Z</t>
  </si>
  <si>
    <t>28.92</t>
  </si>
  <si>
    <t xml:space="preserve"> -12.14</t>
  </si>
  <si>
    <t>2025-08-08T09:45:14.368Z</t>
  </si>
  <si>
    <t>23.82</t>
  </si>
  <si>
    <t xml:space="preserve"> -17.36</t>
  </si>
  <si>
    <t>2025-08-08T09:50:12.986Z</t>
  </si>
  <si>
    <t>25.99</t>
  </si>
  <si>
    <t xml:space="preserve"> -20.35</t>
  </si>
  <si>
    <t>end of the day</t>
  </si>
  <si>
    <t>2025-08-09T16:29:33.927Z</t>
  </si>
  <si>
    <t>33.91</t>
  </si>
  <si>
    <t xml:space="preserve"> -27.71</t>
  </si>
  <si>
    <t>FIFTEEN MINS CANDLES.</t>
  </si>
  <si>
    <t>12.03</t>
  </si>
  <si>
    <t>BALANCED</t>
  </si>
  <si>
    <t>Entry Order ID</t>
  </si>
  <si>
    <t>SL Order ID</t>
  </si>
  <si>
    <t>Target Order ID</t>
  </si>
  <si>
    <t>Trading Symbol</t>
  </si>
  <si>
    <t>Security ID</t>
  </si>
  <si>
    <t>Entry Price</t>
  </si>
  <si>
    <t>Stop Loss</t>
  </si>
  <si>
    <t>Target</t>
  </si>
  <si>
    <t>Quantity</t>
  </si>
  <si>
    <t>Risk Reward Ratio</t>
  </si>
  <si>
    <t>Max Loss</t>
  </si>
  <si>
    <t>Max Profit</t>
  </si>
  <si>
    <t>Status</t>
  </si>
  <si>
    <t>Exit Type</t>
  </si>
  <si>
    <t>Exit Price</t>
  </si>
  <si>
    <t>PnL</t>
  </si>
  <si>
    <t>Actual Risk Reward</t>
  </si>
  <si>
    <t>Exit Timestamp</t>
  </si>
  <si>
    <t>Execution Time</t>
  </si>
  <si>
    <t>Date</t>
  </si>
  <si>
    <t>Session Executions</t>
  </si>
  <si>
    <t>Session PnL</t>
  </si>
  <si>
    <t>Target Hits</t>
  </si>
  <si>
    <t>Stop Loss Hits</t>
  </si>
  <si>
    <t>Average PnL</t>
  </si>
  <si>
    <t>Win Rate</t>
  </si>
  <si>
    <t>Profit Factor</t>
  </si>
  <si>
    <t>Max Drawdown</t>
  </si>
  <si>
    <t>Last Update</t>
  </si>
  <si>
    <t>Total Trades</t>
  </si>
  <si>
    <t>Total PnL</t>
  </si>
  <si>
    <t>Avg PnL</t>
  </si>
  <si>
    <t>Alert Type</t>
  </si>
  <si>
    <t>Severity</t>
  </si>
  <si>
    <t>Message</t>
  </si>
  <si>
    <t>Action Taken</t>
  </si>
  <si>
    <t>Resolution 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</si>
</sst>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 HH:mm:ss"/>
    <numFmt numFmtId="165" formatCode="M/d/yyyy H:mm:ss"/>
    <numFmt numFmtId="166" formatCode="M/d/yyyy"/>
  </numFmts>
  <fonts count="5">
    <font>
      <sz val="10.0"/>
      <color rgb="FF000000"/>
      <name val="Arial"/>
      <scheme val="minor"/>
    </font>
    <font>
      <b/>
      <sz val="11.0"/>
      <color rgb="FF073763"/>
      <name val="Consolas"/>
    </font>
    <font>
      <b/>
      <color rgb="FF073763"/>
      <name val="Arial"/>
      <scheme val="minor"/>
    </font>
    <font>
      <color theme="1"/>
      <name val="Arial"/>
      <scheme val="minor"/>
    </font>
    <font>
      <sz val="11.0"/>
      <color theme="1"/>
      <name val="Consolas"/>
    </font>
  </fonts>
  <fills count="9">
    <fill>
      <patternFill patternType="none"/>
    </fill>
    <fill>
      <patternFill patternType="lightGray"/>
    </fill>
    <fill>
      <patternFill patternType="solid">
        <fgColor theme="9"/>
        <bgColor theme="9"/>
      </patternFill>
    </fill>
    <fill>
      <patternFill patternType="solid">
        <fgColor rgb="FFFFFF00"/>
        <bgColor rgb="FFFFFF00"/>
      </patternFill>
    </fill>
    <fill>
      <patternFill patternType="solid">
        <fgColor theme="8"/>
        <bgColor theme="8"/>
      </patternFill>
    </fill>
    <fill>
      <patternFill patternType="solid">
        <fgColor theme="0"/>
        <bgColor theme="0"/>
      </patternFill>
    </fill>
    <fill>
      <patternFill patternType="solid">
        <fgColor theme="6"/>
        <bgColor theme="6"/>
      </patternFill>
    </fill>
    <fill>
      <patternFill patternType="solid">
        <fgColor rgb="FF666666"/>
        <bgColor rgb="FF666666"/>
      </patternFill>
    </fill>
    <fill>
      <patternFill patternType="solid">
        <fgColor theme="5"/>
        <bgColor theme="5"/>
      </patternFill>
    </fill>
  </fills>
  <borders count="1">
    <border/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readingOrder="0"/>
    </xf>
    <xf borderId="0" fillId="2" fontId="1" numFmtId="0" xfId="0" applyAlignment="1" applyFont="1">
      <alignment readingOrder="0"/>
    </xf>
    <xf borderId="0" fillId="2" fontId="2" numFmtId="0" xfId="0" applyFont="1"/>
    <xf borderId="0" fillId="3" fontId="3" numFmtId="164" xfId="0" applyAlignment="1" applyFill="1" applyFont="1" applyNumberFormat="1">
      <alignment readingOrder="0"/>
    </xf>
    <xf borderId="0" fillId="3" fontId="3" numFmtId="0" xfId="0" applyAlignment="1" applyFont="1">
      <alignment readingOrder="0"/>
    </xf>
    <xf quotePrefix="1" borderId="0" fillId="3" fontId="3" numFmtId="0" xfId="0" applyAlignment="1" applyFont="1">
      <alignment readingOrder="0"/>
    </xf>
    <xf borderId="0" fillId="3" fontId="3" numFmtId="0" xfId="0" applyAlignment="1" applyFont="1">
      <alignment readingOrder="0"/>
    </xf>
    <xf borderId="0" fillId="3" fontId="3" numFmtId="0" xfId="0" applyFont="1"/>
    <xf borderId="0" fillId="2" fontId="3" numFmtId="164" xfId="0" applyAlignment="1" applyFont="1" applyNumberFormat="1">
      <alignment readingOrder="0"/>
    </xf>
    <xf borderId="0" fillId="2" fontId="3" numFmtId="0" xfId="0" applyAlignment="1" applyFont="1">
      <alignment readingOrder="0"/>
    </xf>
    <xf borderId="0" fillId="2" fontId="3" numFmtId="0" xfId="0" applyAlignment="1" applyFont="1">
      <alignment readingOrder="0"/>
    </xf>
    <xf quotePrefix="1" borderId="0" fillId="2" fontId="3" numFmtId="0" xfId="0" applyAlignment="1" applyFont="1">
      <alignment readingOrder="0"/>
    </xf>
    <xf borderId="0" fillId="2" fontId="3" numFmtId="0" xfId="0" applyFont="1"/>
    <xf borderId="0" fillId="4" fontId="3" numFmtId="164" xfId="0" applyAlignment="1" applyFill="1" applyFont="1" applyNumberFormat="1">
      <alignment readingOrder="0"/>
    </xf>
    <xf borderId="0" fillId="4" fontId="3" numFmtId="0" xfId="0" applyAlignment="1" applyFont="1">
      <alignment readingOrder="0"/>
    </xf>
    <xf borderId="0" fillId="4" fontId="3" numFmtId="0" xfId="0" applyAlignment="1" applyFont="1">
      <alignment readingOrder="0"/>
    </xf>
    <xf quotePrefix="1" borderId="0" fillId="4" fontId="3" numFmtId="0" xfId="0" applyAlignment="1" applyFont="1">
      <alignment readingOrder="0"/>
    </xf>
    <xf borderId="0" fillId="4" fontId="3" numFmtId="0" xfId="0" applyFont="1"/>
    <xf borderId="0" fillId="5" fontId="3" numFmtId="0" xfId="0" applyAlignment="1" applyFill="1" applyFont="1">
      <alignment readingOrder="0"/>
    </xf>
    <xf borderId="0" fillId="5" fontId="3" numFmtId="0" xfId="0" applyAlignment="1" applyFont="1">
      <alignment readingOrder="0"/>
    </xf>
    <xf quotePrefix="1" borderId="0" fillId="5" fontId="3" numFmtId="0" xfId="0" applyAlignment="1" applyFont="1">
      <alignment readingOrder="0"/>
    </xf>
    <xf borderId="0" fillId="5" fontId="3" numFmtId="0" xfId="0" applyFont="1"/>
    <xf borderId="0" fillId="0" fontId="3" numFmtId="0" xfId="0" applyAlignment="1" applyFont="1">
      <alignment readingOrder="0"/>
    </xf>
    <xf borderId="0" fillId="0" fontId="3" numFmtId="0" xfId="0" applyAlignment="1" applyFont="1">
      <alignment readingOrder="0"/>
    </xf>
    <xf quotePrefix="1" borderId="0" fillId="0" fontId="3" numFmtId="0" xfId="0" applyAlignment="1" applyFont="1">
      <alignment readingOrder="0"/>
    </xf>
    <xf borderId="0" fillId="6" fontId="3" numFmtId="0" xfId="0" applyAlignment="1" applyFill="1" applyFont="1">
      <alignment readingOrder="0"/>
    </xf>
    <xf borderId="0" fillId="6" fontId="3" numFmtId="0" xfId="0" applyAlignment="1" applyFont="1">
      <alignment readingOrder="0"/>
    </xf>
    <xf quotePrefix="1" borderId="0" fillId="6" fontId="3" numFmtId="0" xfId="0" applyAlignment="1" applyFont="1">
      <alignment readingOrder="0"/>
    </xf>
    <xf borderId="0" fillId="6" fontId="3" numFmtId="0" xfId="0" applyFont="1"/>
    <xf borderId="0" fillId="7" fontId="3" numFmtId="0" xfId="0" applyAlignment="1" applyFill="1" applyFont="1">
      <alignment readingOrder="0"/>
    </xf>
    <xf borderId="0" fillId="7" fontId="3" numFmtId="0" xfId="0" applyAlignment="1" applyFont="1">
      <alignment readingOrder="0"/>
    </xf>
    <xf borderId="0" fillId="7" fontId="3" numFmtId="0" xfId="0" applyFont="1"/>
    <xf borderId="0" fillId="8" fontId="3" numFmtId="0" xfId="0" applyAlignment="1" applyFill="1" applyFont="1">
      <alignment readingOrder="0"/>
    </xf>
    <xf borderId="0" fillId="8" fontId="3" numFmtId="0" xfId="0" applyFont="1"/>
    <xf borderId="0" fillId="0" fontId="3" numFmtId="164" xfId="0" applyFont="1" applyNumberFormat="1"/>
    <xf borderId="0" fillId="2" fontId="1" numFmtId="165" xfId="0" applyAlignment="1" applyFont="1" applyNumberFormat="1">
      <alignment readingOrder="0"/>
    </xf>
    <xf borderId="0" fillId="0" fontId="3" numFmtId="165" xfId="0" applyFont="1" applyNumberFormat="1"/>
    <xf borderId="0" fillId="2" fontId="1" numFmtId="166" xfId="0" applyAlignment="1" applyFont="1" applyNumberFormat="1">
      <alignment readingOrder="0"/>
    </xf>
    <xf borderId="0" fillId="0" fontId="3" numFmtId="166" xfId="0" applyFont="1" applyNumberForma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16</v>
      </c>
      <c r="B2" s="5" t="s">
        <v>17</v>
      </c>
      <c r="C2" s="6" t="s">
        <v>18</v>
      </c>
      <c r="D2" s="5" t="s">
        <v>19</v>
      </c>
      <c r="E2" s="5" t="s">
        <v>20</v>
      </c>
      <c r="F2" s="5" t="s">
        <v>21</v>
      </c>
      <c r="G2" s="5" t="s">
        <v>21</v>
      </c>
      <c r="H2" s="5" t="s">
        <v>21</v>
      </c>
      <c r="I2" s="5" t="s">
        <v>21</v>
      </c>
      <c r="J2" s="5" t="s">
        <v>22</v>
      </c>
      <c r="K2" s="5" t="s">
        <v>21</v>
      </c>
      <c r="L2" s="5" t="s">
        <v>21</v>
      </c>
      <c r="M2" s="5" t="s">
        <v>21</v>
      </c>
      <c r="N2" s="5" t="s">
        <v>21</v>
      </c>
      <c r="O2" s="5" t="s">
        <v>21</v>
      </c>
      <c r="P2" s="7">
        <v>24700.0</v>
      </c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4" t="s">
        <v>23</v>
      </c>
      <c r="B3" s="5" t="s">
        <v>17</v>
      </c>
      <c r="C3" s="6" t="s">
        <v>18</v>
      </c>
      <c r="D3" s="5" t="s">
        <v>19</v>
      </c>
      <c r="E3" s="5" t="s">
        <v>20</v>
      </c>
      <c r="F3" s="5" t="s">
        <v>21</v>
      </c>
      <c r="G3" s="5" t="s">
        <v>21</v>
      </c>
      <c r="H3" s="5" t="s">
        <v>21</v>
      </c>
      <c r="I3" s="5" t="s">
        <v>21</v>
      </c>
      <c r="J3" s="5" t="s">
        <v>22</v>
      </c>
      <c r="K3" s="5" t="s">
        <v>21</v>
      </c>
      <c r="L3" s="5" t="s">
        <v>21</v>
      </c>
      <c r="M3" s="5" t="s">
        <v>21</v>
      </c>
      <c r="N3" s="5" t="s">
        <v>21</v>
      </c>
      <c r="O3" s="5" t="s">
        <v>21</v>
      </c>
      <c r="P3" s="7">
        <v>24700.0</v>
      </c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4" t="s">
        <v>24</v>
      </c>
      <c r="B4" s="5" t="s">
        <v>17</v>
      </c>
      <c r="C4" s="6" t="s">
        <v>18</v>
      </c>
      <c r="D4" s="5" t="s">
        <v>19</v>
      </c>
      <c r="E4" s="5" t="s">
        <v>20</v>
      </c>
      <c r="F4" s="5" t="s">
        <v>21</v>
      </c>
      <c r="G4" s="5" t="s">
        <v>21</v>
      </c>
      <c r="H4" s="5" t="s">
        <v>21</v>
      </c>
      <c r="I4" s="5" t="s">
        <v>21</v>
      </c>
      <c r="J4" s="5" t="s">
        <v>22</v>
      </c>
      <c r="K4" s="5" t="s">
        <v>21</v>
      </c>
      <c r="L4" s="5" t="s">
        <v>21</v>
      </c>
      <c r="M4" s="5" t="s">
        <v>21</v>
      </c>
      <c r="N4" s="5" t="s">
        <v>21</v>
      </c>
      <c r="O4" s="5" t="s">
        <v>21</v>
      </c>
      <c r="P4" s="7">
        <v>24700.0</v>
      </c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4" t="s">
        <v>25</v>
      </c>
      <c r="B5" s="5" t="s">
        <v>17</v>
      </c>
      <c r="C5" s="6" t="s">
        <v>18</v>
      </c>
      <c r="D5" s="5" t="s">
        <v>19</v>
      </c>
      <c r="E5" s="5" t="s">
        <v>20</v>
      </c>
      <c r="F5" s="5" t="s">
        <v>21</v>
      </c>
      <c r="G5" s="5" t="s">
        <v>21</v>
      </c>
      <c r="H5" s="5" t="s">
        <v>21</v>
      </c>
      <c r="I5" s="5" t="s">
        <v>21</v>
      </c>
      <c r="J5" s="5" t="s">
        <v>22</v>
      </c>
      <c r="K5" s="5" t="s">
        <v>21</v>
      </c>
      <c r="L5" s="5" t="s">
        <v>21</v>
      </c>
      <c r="M5" s="5" t="s">
        <v>21</v>
      </c>
      <c r="N5" s="5" t="s">
        <v>21</v>
      </c>
      <c r="O5" s="5" t="s">
        <v>21</v>
      </c>
      <c r="P5" s="7">
        <v>24750.0</v>
      </c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4" t="s">
        <v>26</v>
      </c>
      <c r="B6" s="5" t="s">
        <v>17</v>
      </c>
      <c r="C6" s="6" t="s">
        <v>18</v>
      </c>
      <c r="D6" s="5" t="s">
        <v>19</v>
      </c>
      <c r="E6" s="5" t="s">
        <v>20</v>
      </c>
      <c r="F6" s="5" t="s">
        <v>21</v>
      </c>
      <c r="G6" s="5" t="s">
        <v>21</v>
      </c>
      <c r="H6" s="5" t="s">
        <v>21</v>
      </c>
      <c r="I6" s="5" t="s">
        <v>21</v>
      </c>
      <c r="J6" s="5" t="s">
        <v>22</v>
      </c>
      <c r="K6" s="5" t="s">
        <v>21</v>
      </c>
      <c r="L6" s="5" t="s">
        <v>21</v>
      </c>
      <c r="M6" s="5" t="s">
        <v>21</v>
      </c>
      <c r="N6" s="5" t="s">
        <v>21</v>
      </c>
      <c r="O6" s="5" t="s">
        <v>21</v>
      </c>
      <c r="P6" s="7">
        <v>24750.0</v>
      </c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4" t="s">
        <v>27</v>
      </c>
      <c r="B7" s="5" t="s">
        <v>17</v>
      </c>
      <c r="C7" s="6" t="s">
        <v>18</v>
      </c>
      <c r="D7" s="5" t="s">
        <v>19</v>
      </c>
      <c r="E7" s="5" t="s">
        <v>20</v>
      </c>
      <c r="F7" s="5" t="s">
        <v>21</v>
      </c>
      <c r="G7" s="5" t="s">
        <v>21</v>
      </c>
      <c r="H7" s="5" t="s">
        <v>21</v>
      </c>
      <c r="I7" s="5" t="s">
        <v>21</v>
      </c>
      <c r="J7" s="5" t="s">
        <v>22</v>
      </c>
      <c r="K7" s="5" t="s">
        <v>21</v>
      </c>
      <c r="L7" s="5" t="s">
        <v>21</v>
      </c>
      <c r="M7" s="5" t="s">
        <v>21</v>
      </c>
      <c r="N7" s="5" t="s">
        <v>21</v>
      </c>
      <c r="O7" s="5" t="s">
        <v>21</v>
      </c>
      <c r="P7" s="7">
        <v>24750.0</v>
      </c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4" t="s">
        <v>28</v>
      </c>
      <c r="B8" s="5" t="s">
        <v>17</v>
      </c>
      <c r="C8" s="6" t="s">
        <v>18</v>
      </c>
      <c r="D8" s="5" t="s">
        <v>19</v>
      </c>
      <c r="E8" s="5" t="s">
        <v>20</v>
      </c>
      <c r="F8" s="5" t="s">
        <v>21</v>
      </c>
      <c r="G8" s="5" t="s">
        <v>21</v>
      </c>
      <c r="H8" s="5" t="s">
        <v>21</v>
      </c>
      <c r="I8" s="5" t="s">
        <v>21</v>
      </c>
      <c r="J8" s="5" t="s">
        <v>22</v>
      </c>
      <c r="K8" s="5" t="s">
        <v>21</v>
      </c>
      <c r="L8" s="5" t="s">
        <v>21</v>
      </c>
      <c r="M8" s="5" t="s">
        <v>21</v>
      </c>
      <c r="N8" s="5" t="s">
        <v>21</v>
      </c>
      <c r="O8" s="5" t="s">
        <v>21</v>
      </c>
      <c r="P8" s="7">
        <v>24750.0</v>
      </c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4" t="s">
        <v>29</v>
      </c>
      <c r="B9" s="5" t="s">
        <v>17</v>
      </c>
      <c r="C9" s="6" t="s">
        <v>18</v>
      </c>
      <c r="D9" s="5" t="s">
        <v>19</v>
      </c>
      <c r="E9" s="5" t="s">
        <v>20</v>
      </c>
      <c r="F9" s="5" t="s">
        <v>21</v>
      </c>
      <c r="G9" s="5" t="s">
        <v>21</v>
      </c>
      <c r="H9" s="5" t="s">
        <v>21</v>
      </c>
      <c r="I9" s="5" t="s">
        <v>21</v>
      </c>
      <c r="J9" s="5" t="s">
        <v>22</v>
      </c>
      <c r="K9" s="5" t="s">
        <v>21</v>
      </c>
      <c r="L9" s="5" t="s">
        <v>21</v>
      </c>
      <c r="M9" s="5" t="s">
        <v>21</v>
      </c>
      <c r="N9" s="5" t="s">
        <v>21</v>
      </c>
      <c r="O9" s="5" t="s">
        <v>21</v>
      </c>
      <c r="P9" s="7">
        <v>24800.0</v>
      </c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4" t="s">
        <v>30</v>
      </c>
      <c r="B10" s="5" t="s">
        <v>17</v>
      </c>
      <c r="C10" s="6" t="s">
        <v>18</v>
      </c>
      <c r="D10" s="5" t="s">
        <v>31</v>
      </c>
      <c r="E10" s="5" t="s">
        <v>32</v>
      </c>
      <c r="F10" s="5" t="s">
        <v>21</v>
      </c>
      <c r="G10" s="5" t="s">
        <v>21</v>
      </c>
      <c r="H10" s="5" t="s">
        <v>21</v>
      </c>
      <c r="I10" s="5" t="s">
        <v>21</v>
      </c>
      <c r="J10" s="5" t="s">
        <v>22</v>
      </c>
      <c r="K10" s="5" t="s">
        <v>21</v>
      </c>
      <c r="L10" s="5" t="s">
        <v>21</v>
      </c>
      <c r="M10" s="5" t="s">
        <v>21</v>
      </c>
      <c r="N10" s="5" t="s">
        <v>21</v>
      </c>
      <c r="O10" s="5" t="s">
        <v>21</v>
      </c>
      <c r="P10" s="7">
        <v>24750.0</v>
      </c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4" t="s">
        <v>30</v>
      </c>
      <c r="B11" s="5" t="s">
        <v>33</v>
      </c>
      <c r="C11" s="6" t="s">
        <v>34</v>
      </c>
      <c r="D11" s="5" t="s">
        <v>31</v>
      </c>
      <c r="E11" s="5" t="s">
        <v>32</v>
      </c>
      <c r="F11" s="5" t="s">
        <v>21</v>
      </c>
      <c r="G11" s="5" t="s">
        <v>21</v>
      </c>
      <c r="H11" s="5" t="s">
        <v>21</v>
      </c>
      <c r="I11" s="5" t="s">
        <v>21</v>
      </c>
      <c r="J11" s="5" t="s">
        <v>22</v>
      </c>
      <c r="K11" s="5" t="s">
        <v>21</v>
      </c>
      <c r="L11" s="5" t="s">
        <v>21</v>
      </c>
      <c r="M11" s="5" t="s">
        <v>21</v>
      </c>
      <c r="N11" s="5" t="s">
        <v>21</v>
      </c>
      <c r="O11" s="5" t="s">
        <v>21</v>
      </c>
      <c r="P11" s="7">
        <v>24750.0</v>
      </c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4" t="s">
        <v>30</v>
      </c>
      <c r="B12" s="5" t="s">
        <v>33</v>
      </c>
      <c r="C12" s="6" t="s">
        <v>34</v>
      </c>
      <c r="D12" s="5" t="s">
        <v>31</v>
      </c>
      <c r="E12" s="5" t="s">
        <v>32</v>
      </c>
      <c r="F12" s="5" t="s">
        <v>21</v>
      </c>
      <c r="G12" s="5" t="s">
        <v>21</v>
      </c>
      <c r="H12" s="5" t="s">
        <v>21</v>
      </c>
      <c r="I12" s="5" t="s">
        <v>21</v>
      </c>
      <c r="J12" s="5" t="s">
        <v>22</v>
      </c>
      <c r="K12" s="5" t="s">
        <v>21</v>
      </c>
      <c r="L12" s="5" t="s">
        <v>21</v>
      </c>
      <c r="M12" s="5" t="s">
        <v>21</v>
      </c>
      <c r="N12" s="5" t="s">
        <v>21</v>
      </c>
      <c r="O12" s="5" t="s">
        <v>21</v>
      </c>
      <c r="P12" s="7">
        <v>24750.0</v>
      </c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4" t="s">
        <v>30</v>
      </c>
      <c r="B13" s="5" t="s">
        <v>35</v>
      </c>
      <c r="C13" s="6" t="s">
        <v>36</v>
      </c>
      <c r="D13" s="5" t="s">
        <v>31</v>
      </c>
      <c r="E13" s="5" t="s">
        <v>32</v>
      </c>
      <c r="F13" s="5" t="s">
        <v>21</v>
      </c>
      <c r="G13" s="5" t="s">
        <v>21</v>
      </c>
      <c r="H13" s="5" t="s">
        <v>21</v>
      </c>
      <c r="I13" s="5" t="s">
        <v>21</v>
      </c>
      <c r="J13" s="5" t="s">
        <v>22</v>
      </c>
      <c r="K13" s="5" t="s">
        <v>21</v>
      </c>
      <c r="L13" s="5" t="s">
        <v>21</v>
      </c>
      <c r="M13" s="5" t="s">
        <v>21</v>
      </c>
      <c r="N13" s="5" t="s">
        <v>21</v>
      </c>
      <c r="O13" s="5" t="s">
        <v>21</v>
      </c>
      <c r="P13" s="7">
        <v>24750.0</v>
      </c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4" t="s">
        <v>37</v>
      </c>
      <c r="B14" s="5" t="s">
        <v>35</v>
      </c>
      <c r="C14" s="6" t="s">
        <v>36</v>
      </c>
      <c r="D14" s="5" t="s">
        <v>31</v>
      </c>
      <c r="E14" s="5" t="s">
        <v>32</v>
      </c>
      <c r="F14" s="5" t="s">
        <v>21</v>
      </c>
      <c r="G14" s="5" t="s">
        <v>21</v>
      </c>
      <c r="H14" s="5" t="s">
        <v>21</v>
      </c>
      <c r="I14" s="5" t="s">
        <v>21</v>
      </c>
      <c r="J14" s="5" t="s">
        <v>22</v>
      </c>
      <c r="K14" s="5" t="s">
        <v>21</v>
      </c>
      <c r="L14" s="5" t="s">
        <v>21</v>
      </c>
      <c r="M14" s="5" t="s">
        <v>21</v>
      </c>
      <c r="N14" s="5" t="s">
        <v>21</v>
      </c>
      <c r="O14" s="5" t="s">
        <v>21</v>
      </c>
      <c r="P14" s="7">
        <v>24750.0</v>
      </c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4" t="s">
        <v>38</v>
      </c>
      <c r="B15" s="5" t="s">
        <v>35</v>
      </c>
      <c r="C15" s="6" t="s">
        <v>36</v>
      </c>
      <c r="D15" s="5" t="s">
        <v>31</v>
      </c>
      <c r="E15" s="5" t="s">
        <v>32</v>
      </c>
      <c r="F15" s="5" t="s">
        <v>21</v>
      </c>
      <c r="G15" s="5" t="s">
        <v>21</v>
      </c>
      <c r="H15" s="5" t="s">
        <v>21</v>
      </c>
      <c r="I15" s="5" t="s">
        <v>21</v>
      </c>
      <c r="J15" s="5" t="s">
        <v>22</v>
      </c>
      <c r="K15" s="5" t="s">
        <v>21</v>
      </c>
      <c r="L15" s="5" t="s">
        <v>21</v>
      </c>
      <c r="M15" s="5" t="s">
        <v>21</v>
      </c>
      <c r="N15" s="5" t="s">
        <v>21</v>
      </c>
      <c r="O15" s="5" t="s">
        <v>21</v>
      </c>
      <c r="P15" s="7">
        <v>24750.0</v>
      </c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4" t="s">
        <v>39</v>
      </c>
      <c r="B16" s="5" t="s">
        <v>35</v>
      </c>
      <c r="C16" s="6" t="s">
        <v>36</v>
      </c>
      <c r="D16" s="5" t="s">
        <v>31</v>
      </c>
      <c r="E16" s="5" t="s">
        <v>32</v>
      </c>
      <c r="F16" s="5" t="s">
        <v>21</v>
      </c>
      <c r="G16" s="5" t="s">
        <v>21</v>
      </c>
      <c r="H16" s="5" t="s">
        <v>21</v>
      </c>
      <c r="I16" s="5" t="s">
        <v>21</v>
      </c>
      <c r="J16" s="5" t="s">
        <v>22</v>
      </c>
      <c r="K16" s="5" t="s">
        <v>21</v>
      </c>
      <c r="L16" s="5" t="s">
        <v>21</v>
      </c>
      <c r="M16" s="5" t="s">
        <v>21</v>
      </c>
      <c r="N16" s="5" t="s">
        <v>21</v>
      </c>
      <c r="O16" s="5" t="s">
        <v>21</v>
      </c>
      <c r="P16" s="7">
        <v>24750.0</v>
      </c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4" t="s">
        <v>40</v>
      </c>
      <c r="B17" s="5" t="s">
        <v>35</v>
      </c>
      <c r="C17" s="6" t="s">
        <v>36</v>
      </c>
      <c r="D17" s="5" t="s">
        <v>31</v>
      </c>
      <c r="E17" s="5" t="s">
        <v>32</v>
      </c>
      <c r="F17" s="5" t="s">
        <v>21</v>
      </c>
      <c r="G17" s="5" t="s">
        <v>21</v>
      </c>
      <c r="H17" s="5" t="s">
        <v>21</v>
      </c>
      <c r="I17" s="5" t="s">
        <v>21</v>
      </c>
      <c r="J17" s="5" t="s">
        <v>22</v>
      </c>
      <c r="K17" s="5" t="s">
        <v>21</v>
      </c>
      <c r="L17" s="5" t="s">
        <v>21</v>
      </c>
      <c r="M17" s="5" t="s">
        <v>21</v>
      </c>
      <c r="N17" s="5" t="s">
        <v>21</v>
      </c>
      <c r="O17" s="5" t="s">
        <v>21</v>
      </c>
      <c r="P17" s="7">
        <v>24750.0</v>
      </c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4" t="s">
        <v>40</v>
      </c>
      <c r="B18" s="5" t="s">
        <v>35</v>
      </c>
      <c r="C18" s="6" t="s">
        <v>41</v>
      </c>
      <c r="D18" s="5" t="s">
        <v>31</v>
      </c>
      <c r="E18" s="5" t="s">
        <v>32</v>
      </c>
      <c r="F18" s="5" t="s">
        <v>21</v>
      </c>
      <c r="G18" s="5" t="s">
        <v>21</v>
      </c>
      <c r="H18" s="5" t="s">
        <v>21</v>
      </c>
      <c r="I18" s="5" t="s">
        <v>21</v>
      </c>
      <c r="J18" s="5" t="s">
        <v>22</v>
      </c>
      <c r="K18" s="5" t="s">
        <v>21</v>
      </c>
      <c r="L18" s="5" t="s">
        <v>21</v>
      </c>
      <c r="M18" s="5" t="s">
        <v>21</v>
      </c>
      <c r="N18" s="5" t="s">
        <v>21</v>
      </c>
      <c r="O18" s="5" t="s">
        <v>21</v>
      </c>
      <c r="P18" s="7">
        <v>24750.0</v>
      </c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4" t="s">
        <v>42</v>
      </c>
      <c r="B19" s="5" t="s">
        <v>17</v>
      </c>
      <c r="C19" s="6" t="s">
        <v>41</v>
      </c>
      <c r="D19" s="5" t="s">
        <v>31</v>
      </c>
      <c r="E19" s="5" t="s">
        <v>32</v>
      </c>
      <c r="F19" s="5" t="s">
        <v>21</v>
      </c>
      <c r="G19" s="5" t="s">
        <v>21</v>
      </c>
      <c r="H19" s="5" t="s">
        <v>21</v>
      </c>
      <c r="I19" s="5" t="s">
        <v>21</v>
      </c>
      <c r="J19" s="5" t="s">
        <v>22</v>
      </c>
      <c r="K19" s="5" t="s">
        <v>21</v>
      </c>
      <c r="L19" s="5" t="s">
        <v>21</v>
      </c>
      <c r="M19" s="5" t="s">
        <v>21</v>
      </c>
      <c r="N19" s="5" t="s">
        <v>21</v>
      </c>
      <c r="O19" s="5" t="s">
        <v>21</v>
      </c>
      <c r="P19" s="7">
        <v>24750.0</v>
      </c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4" t="s">
        <v>43</v>
      </c>
      <c r="B20" s="5" t="s">
        <v>17</v>
      </c>
      <c r="C20" s="7">
        <v>15.0</v>
      </c>
      <c r="D20" s="5" t="s">
        <v>31</v>
      </c>
      <c r="E20" s="5" t="s">
        <v>32</v>
      </c>
      <c r="F20" s="5" t="s">
        <v>21</v>
      </c>
      <c r="G20" s="5" t="s">
        <v>21</v>
      </c>
      <c r="H20" s="6" t="s">
        <v>44</v>
      </c>
      <c r="I20" s="5" t="s">
        <v>21</v>
      </c>
      <c r="J20" s="5" t="s">
        <v>22</v>
      </c>
      <c r="K20" s="5" t="s">
        <v>21</v>
      </c>
      <c r="L20" s="5" t="s">
        <v>21</v>
      </c>
      <c r="M20" s="5" t="s">
        <v>21</v>
      </c>
      <c r="N20" s="5" t="s">
        <v>21</v>
      </c>
      <c r="O20" s="5" t="s">
        <v>21</v>
      </c>
      <c r="P20" s="7">
        <v>24750.0</v>
      </c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4" t="s">
        <v>43</v>
      </c>
      <c r="B21" s="5" t="s">
        <v>35</v>
      </c>
      <c r="C21" s="7">
        <v>15.0</v>
      </c>
      <c r="D21" s="5" t="s">
        <v>31</v>
      </c>
      <c r="E21" s="5" t="s">
        <v>32</v>
      </c>
      <c r="F21" s="5" t="s">
        <v>21</v>
      </c>
      <c r="G21" s="5" t="s">
        <v>21</v>
      </c>
      <c r="H21" s="6" t="s">
        <v>44</v>
      </c>
      <c r="I21" s="5" t="s">
        <v>21</v>
      </c>
      <c r="J21" s="5" t="s">
        <v>22</v>
      </c>
      <c r="K21" s="5" t="s">
        <v>21</v>
      </c>
      <c r="L21" s="5" t="s">
        <v>21</v>
      </c>
      <c r="M21" s="5" t="s">
        <v>21</v>
      </c>
      <c r="N21" s="5" t="s">
        <v>21</v>
      </c>
      <c r="O21" s="5" t="s">
        <v>21</v>
      </c>
      <c r="P21" s="7">
        <v>24750.0</v>
      </c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4" t="s">
        <v>45</v>
      </c>
      <c r="B22" s="5" t="s">
        <v>35</v>
      </c>
      <c r="C22" s="7">
        <v>15.0</v>
      </c>
      <c r="D22" s="5" t="s">
        <v>31</v>
      </c>
      <c r="E22" s="5" t="s">
        <v>32</v>
      </c>
      <c r="F22" s="5" t="s">
        <v>21</v>
      </c>
      <c r="G22" s="5" t="s">
        <v>21</v>
      </c>
      <c r="H22" s="6" t="s">
        <v>44</v>
      </c>
      <c r="I22" s="5" t="s">
        <v>21</v>
      </c>
      <c r="J22" s="5" t="s">
        <v>22</v>
      </c>
      <c r="K22" s="5" t="s">
        <v>21</v>
      </c>
      <c r="L22" s="5" t="s">
        <v>21</v>
      </c>
      <c r="M22" s="5" t="s">
        <v>21</v>
      </c>
      <c r="N22" s="5" t="s">
        <v>21</v>
      </c>
      <c r="O22" s="5" t="s">
        <v>21</v>
      </c>
      <c r="P22" s="7">
        <v>24750.0</v>
      </c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4" t="s">
        <v>46</v>
      </c>
      <c r="B23" s="5" t="s">
        <v>35</v>
      </c>
      <c r="C23" s="7">
        <v>15.0</v>
      </c>
      <c r="D23" s="5" t="s">
        <v>31</v>
      </c>
      <c r="E23" s="5" t="s">
        <v>32</v>
      </c>
      <c r="F23" s="5" t="s">
        <v>21</v>
      </c>
      <c r="G23" s="5" t="s">
        <v>21</v>
      </c>
      <c r="H23" s="6" t="s">
        <v>44</v>
      </c>
      <c r="I23" s="5" t="s">
        <v>21</v>
      </c>
      <c r="J23" s="5" t="s">
        <v>22</v>
      </c>
      <c r="K23" s="5" t="s">
        <v>21</v>
      </c>
      <c r="L23" s="5" t="s">
        <v>21</v>
      </c>
      <c r="M23" s="5" t="s">
        <v>21</v>
      </c>
      <c r="N23" s="5" t="s">
        <v>21</v>
      </c>
      <c r="O23" s="5" t="s">
        <v>21</v>
      </c>
      <c r="P23" s="7">
        <v>24750.0</v>
      </c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4" t="s">
        <v>46</v>
      </c>
      <c r="B24" s="5" t="s">
        <v>35</v>
      </c>
      <c r="C24" s="7">
        <v>15.0</v>
      </c>
      <c r="D24" s="5" t="s">
        <v>31</v>
      </c>
      <c r="E24" s="5" t="s">
        <v>32</v>
      </c>
      <c r="F24" s="5" t="s">
        <v>21</v>
      </c>
      <c r="G24" s="5" t="s">
        <v>21</v>
      </c>
      <c r="H24" s="6" t="s">
        <v>44</v>
      </c>
      <c r="I24" s="5" t="s">
        <v>21</v>
      </c>
      <c r="J24" s="5" t="s">
        <v>22</v>
      </c>
      <c r="K24" s="5" t="s">
        <v>21</v>
      </c>
      <c r="L24" s="7">
        <v>24768.35</v>
      </c>
      <c r="M24" s="5" t="s">
        <v>21</v>
      </c>
      <c r="N24" s="7">
        <v>1.0</v>
      </c>
      <c r="O24" s="7">
        <v>0.0</v>
      </c>
      <c r="P24" s="7">
        <v>24750.0</v>
      </c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4" t="s">
        <v>47</v>
      </c>
      <c r="B25" s="5" t="s">
        <v>17</v>
      </c>
      <c r="C25" s="6" t="s">
        <v>18</v>
      </c>
      <c r="D25" s="5" t="s">
        <v>19</v>
      </c>
      <c r="E25" s="5" t="s">
        <v>20</v>
      </c>
      <c r="F25" s="5" t="s">
        <v>21</v>
      </c>
      <c r="G25" s="5" t="s">
        <v>21</v>
      </c>
      <c r="H25" s="5" t="s">
        <v>21</v>
      </c>
      <c r="I25" s="5" t="s">
        <v>21</v>
      </c>
      <c r="J25" s="5" t="s">
        <v>22</v>
      </c>
      <c r="K25" s="5" t="s">
        <v>21</v>
      </c>
      <c r="L25" s="5" t="s">
        <v>21</v>
      </c>
      <c r="M25" s="5" t="s">
        <v>21</v>
      </c>
      <c r="N25" s="5" t="s">
        <v>21</v>
      </c>
      <c r="O25" s="5" t="s">
        <v>21</v>
      </c>
      <c r="P25" s="7">
        <v>24650.0</v>
      </c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4" t="s">
        <v>46</v>
      </c>
      <c r="B26" s="5" t="s">
        <v>35</v>
      </c>
      <c r="C26" s="7">
        <v>15.0</v>
      </c>
      <c r="D26" s="6" t="s">
        <v>48</v>
      </c>
      <c r="E26" s="6" t="s">
        <v>49</v>
      </c>
      <c r="F26" s="5" t="s">
        <v>21</v>
      </c>
      <c r="G26" s="5" t="s">
        <v>21</v>
      </c>
      <c r="H26" s="6" t="s">
        <v>44</v>
      </c>
      <c r="I26" s="5" t="s">
        <v>21</v>
      </c>
      <c r="J26" s="5" t="s">
        <v>22</v>
      </c>
      <c r="K26" s="5" t="s">
        <v>21</v>
      </c>
      <c r="L26" s="7">
        <v>24768.35</v>
      </c>
      <c r="M26" s="5" t="s">
        <v>21</v>
      </c>
      <c r="N26" s="7">
        <v>1.0</v>
      </c>
      <c r="O26" s="7">
        <v>0.0</v>
      </c>
      <c r="P26" s="7">
        <v>24750.0</v>
      </c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4" t="s">
        <v>50</v>
      </c>
      <c r="B27" s="5" t="s">
        <v>35</v>
      </c>
      <c r="C27" s="7">
        <v>15.0</v>
      </c>
      <c r="D27" s="6" t="s">
        <v>48</v>
      </c>
      <c r="E27" s="6" t="s">
        <v>49</v>
      </c>
      <c r="F27" s="5" t="s">
        <v>21</v>
      </c>
      <c r="G27" s="5" t="s">
        <v>21</v>
      </c>
      <c r="H27" s="6" t="s">
        <v>44</v>
      </c>
      <c r="I27" s="5" t="s">
        <v>21</v>
      </c>
      <c r="J27" s="5" t="s">
        <v>22</v>
      </c>
      <c r="K27" s="5" t="s">
        <v>21</v>
      </c>
      <c r="L27" s="7">
        <v>24768.35</v>
      </c>
      <c r="M27" s="5" t="s">
        <v>21</v>
      </c>
      <c r="N27" s="7">
        <v>1.0</v>
      </c>
      <c r="O27" s="7">
        <v>0.0</v>
      </c>
      <c r="P27" s="7">
        <v>24750.0</v>
      </c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4" t="s">
        <v>51</v>
      </c>
      <c r="B28" s="5" t="s">
        <v>17</v>
      </c>
      <c r="C28" s="7">
        <v>5.0</v>
      </c>
      <c r="D28" s="6" t="s">
        <v>52</v>
      </c>
      <c r="E28" s="6" t="s">
        <v>53</v>
      </c>
      <c r="F28" s="5" t="s">
        <v>21</v>
      </c>
      <c r="G28" s="5" t="s">
        <v>21</v>
      </c>
      <c r="H28" s="6" t="s">
        <v>54</v>
      </c>
      <c r="I28" s="5" t="s">
        <v>21</v>
      </c>
      <c r="J28" s="5" t="s">
        <v>22</v>
      </c>
      <c r="K28" s="5" t="s">
        <v>21</v>
      </c>
      <c r="L28" s="7">
        <v>24565.35</v>
      </c>
      <c r="M28" s="5" t="s">
        <v>21</v>
      </c>
      <c r="N28" s="7">
        <v>1.0</v>
      </c>
      <c r="O28" s="7">
        <v>0.0</v>
      </c>
      <c r="P28" s="7">
        <v>24550.0</v>
      </c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4" t="s">
        <v>55</v>
      </c>
      <c r="B29" s="5" t="s">
        <v>17</v>
      </c>
      <c r="C29" s="7">
        <v>5.0</v>
      </c>
      <c r="D29" s="6" t="s">
        <v>52</v>
      </c>
      <c r="E29" s="6" t="s">
        <v>53</v>
      </c>
      <c r="F29" s="5" t="s">
        <v>21</v>
      </c>
      <c r="G29" s="5" t="s">
        <v>21</v>
      </c>
      <c r="H29" s="6" t="s">
        <v>54</v>
      </c>
      <c r="I29" s="5" t="s">
        <v>21</v>
      </c>
      <c r="J29" s="5" t="s">
        <v>22</v>
      </c>
      <c r="K29" s="5" t="s">
        <v>21</v>
      </c>
      <c r="L29" s="7">
        <v>24565.35</v>
      </c>
      <c r="M29" s="5" t="s">
        <v>21</v>
      </c>
      <c r="N29" s="7">
        <v>1.0</v>
      </c>
      <c r="O29" s="7">
        <v>0.0</v>
      </c>
      <c r="P29" s="7">
        <v>24550.0</v>
      </c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4" t="s">
        <v>56</v>
      </c>
      <c r="B30" s="5" t="s">
        <v>17</v>
      </c>
      <c r="C30" s="7">
        <v>5.0</v>
      </c>
      <c r="D30" s="6" t="s">
        <v>52</v>
      </c>
      <c r="E30" s="6" t="s">
        <v>53</v>
      </c>
      <c r="F30" s="5" t="s">
        <v>21</v>
      </c>
      <c r="G30" s="5" t="s">
        <v>21</v>
      </c>
      <c r="H30" s="6" t="s">
        <v>54</v>
      </c>
      <c r="I30" s="5" t="s">
        <v>21</v>
      </c>
      <c r="J30" s="5" t="s">
        <v>22</v>
      </c>
      <c r="K30" s="5" t="s">
        <v>21</v>
      </c>
      <c r="L30" s="7">
        <v>24565.35</v>
      </c>
      <c r="M30" s="5" t="s">
        <v>21</v>
      </c>
      <c r="N30" s="7">
        <v>1.0</v>
      </c>
      <c r="O30" s="7">
        <v>0.0</v>
      </c>
      <c r="P30" s="7">
        <v>24550.0</v>
      </c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4" t="s">
        <v>56</v>
      </c>
      <c r="B31" s="5" t="s">
        <v>17</v>
      </c>
      <c r="C31" s="7">
        <v>5.0</v>
      </c>
      <c r="D31" s="6" t="s">
        <v>52</v>
      </c>
      <c r="E31" s="6" t="s">
        <v>53</v>
      </c>
      <c r="F31" s="5" t="s">
        <v>21</v>
      </c>
      <c r="G31" s="5" t="s">
        <v>21</v>
      </c>
      <c r="H31" s="6" t="s">
        <v>54</v>
      </c>
      <c r="I31" s="5" t="s">
        <v>21</v>
      </c>
      <c r="J31" s="5" t="s">
        <v>22</v>
      </c>
      <c r="K31" s="5" t="s">
        <v>21</v>
      </c>
      <c r="L31" s="7">
        <v>24565.35</v>
      </c>
      <c r="M31" s="5" t="s">
        <v>21</v>
      </c>
      <c r="N31" s="7">
        <v>1.0</v>
      </c>
      <c r="O31" s="7">
        <v>0.0</v>
      </c>
      <c r="P31" s="7">
        <v>24550.0</v>
      </c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4" t="s">
        <v>57</v>
      </c>
      <c r="B32" s="5" t="s">
        <v>17</v>
      </c>
      <c r="C32" s="7">
        <v>5.0</v>
      </c>
      <c r="D32" s="6" t="s">
        <v>52</v>
      </c>
      <c r="E32" s="6" t="s">
        <v>53</v>
      </c>
      <c r="F32" s="5" t="s">
        <v>21</v>
      </c>
      <c r="G32" s="5" t="s">
        <v>21</v>
      </c>
      <c r="H32" s="6" t="s">
        <v>54</v>
      </c>
      <c r="I32" s="5" t="s">
        <v>21</v>
      </c>
      <c r="J32" s="5" t="s">
        <v>22</v>
      </c>
      <c r="K32" s="5" t="s">
        <v>21</v>
      </c>
      <c r="L32" s="7">
        <v>24565.35</v>
      </c>
      <c r="M32" s="5" t="s">
        <v>21</v>
      </c>
      <c r="N32" s="7">
        <v>1.0</v>
      </c>
      <c r="O32" s="7">
        <v>0.0</v>
      </c>
      <c r="P32" s="7">
        <v>24550.0</v>
      </c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4" t="s">
        <v>58</v>
      </c>
      <c r="B33" s="5" t="s">
        <v>17</v>
      </c>
      <c r="C33" s="7">
        <v>5.0</v>
      </c>
      <c r="D33" s="6" t="s">
        <v>52</v>
      </c>
      <c r="E33" s="6" t="s">
        <v>53</v>
      </c>
      <c r="F33" s="5" t="s">
        <v>21</v>
      </c>
      <c r="G33" s="5" t="s">
        <v>21</v>
      </c>
      <c r="H33" s="6" t="s">
        <v>54</v>
      </c>
      <c r="I33" s="5" t="s">
        <v>21</v>
      </c>
      <c r="J33" s="5" t="s">
        <v>22</v>
      </c>
      <c r="K33" s="5" t="s">
        <v>21</v>
      </c>
      <c r="L33" s="7">
        <v>24565.35</v>
      </c>
      <c r="M33" s="5" t="s">
        <v>21</v>
      </c>
      <c r="N33" s="7">
        <v>1.0</v>
      </c>
      <c r="O33" s="7">
        <v>0.0</v>
      </c>
      <c r="P33" s="7">
        <v>24550.0</v>
      </c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4" t="s">
        <v>59</v>
      </c>
      <c r="B34" s="5" t="s">
        <v>17</v>
      </c>
      <c r="C34" s="7">
        <v>5.0</v>
      </c>
      <c r="D34" s="6" t="s">
        <v>52</v>
      </c>
      <c r="E34" s="6" t="s">
        <v>53</v>
      </c>
      <c r="F34" s="5" t="s">
        <v>21</v>
      </c>
      <c r="G34" s="5" t="s">
        <v>21</v>
      </c>
      <c r="H34" s="6" t="s">
        <v>54</v>
      </c>
      <c r="I34" s="5" t="s">
        <v>21</v>
      </c>
      <c r="J34" s="5" t="s">
        <v>22</v>
      </c>
      <c r="K34" s="5" t="s">
        <v>21</v>
      </c>
      <c r="L34" s="7">
        <v>24565.35</v>
      </c>
      <c r="M34" s="5" t="s">
        <v>21</v>
      </c>
      <c r="N34" s="7">
        <v>1.0</v>
      </c>
      <c r="O34" s="7">
        <v>0.0</v>
      </c>
      <c r="P34" s="7">
        <v>24550.0</v>
      </c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4" t="s">
        <v>60</v>
      </c>
      <c r="B35" s="5" t="s">
        <v>17</v>
      </c>
      <c r="C35" s="7">
        <v>5.0</v>
      </c>
      <c r="D35" s="6" t="s">
        <v>52</v>
      </c>
      <c r="E35" s="6" t="s">
        <v>53</v>
      </c>
      <c r="F35" s="5" t="s">
        <v>21</v>
      </c>
      <c r="G35" s="5" t="s">
        <v>21</v>
      </c>
      <c r="H35" s="6" t="s">
        <v>54</v>
      </c>
      <c r="I35" s="5" t="s">
        <v>21</v>
      </c>
      <c r="J35" s="5" t="s">
        <v>22</v>
      </c>
      <c r="K35" s="5" t="s">
        <v>21</v>
      </c>
      <c r="L35" s="7">
        <v>24565.35</v>
      </c>
      <c r="M35" s="5" t="s">
        <v>21</v>
      </c>
      <c r="N35" s="7">
        <v>1.0</v>
      </c>
      <c r="O35" s="7">
        <v>0.0</v>
      </c>
      <c r="P35" s="7">
        <v>24550.0</v>
      </c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4" t="s">
        <v>61</v>
      </c>
      <c r="B36" s="5" t="s">
        <v>35</v>
      </c>
      <c r="C36" s="7">
        <v>5.0</v>
      </c>
      <c r="D36" s="6" t="s">
        <v>52</v>
      </c>
      <c r="E36" s="6" t="s">
        <v>53</v>
      </c>
      <c r="F36" s="5" t="s">
        <v>21</v>
      </c>
      <c r="G36" s="5" t="s">
        <v>21</v>
      </c>
      <c r="H36" s="6" t="s">
        <v>54</v>
      </c>
      <c r="I36" s="5" t="s">
        <v>21</v>
      </c>
      <c r="J36" s="5" t="s">
        <v>22</v>
      </c>
      <c r="K36" s="5" t="s">
        <v>21</v>
      </c>
      <c r="L36" s="7">
        <v>24565.35</v>
      </c>
      <c r="M36" s="5" t="s">
        <v>21</v>
      </c>
      <c r="N36" s="7">
        <v>1.0</v>
      </c>
      <c r="O36" s="7">
        <v>0.0</v>
      </c>
      <c r="P36" s="7">
        <v>24550.0</v>
      </c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4" t="s">
        <v>62</v>
      </c>
      <c r="B37" s="5" t="s">
        <v>35</v>
      </c>
      <c r="C37" s="7">
        <v>5.0</v>
      </c>
      <c r="D37" s="6" t="s">
        <v>52</v>
      </c>
      <c r="E37" s="6" t="s">
        <v>53</v>
      </c>
      <c r="F37" s="5" t="s">
        <v>21</v>
      </c>
      <c r="G37" s="5" t="s">
        <v>21</v>
      </c>
      <c r="H37" s="6" t="s">
        <v>54</v>
      </c>
      <c r="I37" s="5" t="s">
        <v>21</v>
      </c>
      <c r="J37" s="5" t="s">
        <v>22</v>
      </c>
      <c r="K37" s="5" t="s">
        <v>21</v>
      </c>
      <c r="L37" s="7">
        <v>24565.35</v>
      </c>
      <c r="M37" s="5" t="s">
        <v>21</v>
      </c>
      <c r="N37" s="7">
        <v>1.0</v>
      </c>
      <c r="O37" s="7">
        <v>0.0</v>
      </c>
      <c r="P37" s="7">
        <v>24550.0</v>
      </c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4" t="s">
        <v>63</v>
      </c>
      <c r="B38" s="5" t="s">
        <v>17</v>
      </c>
      <c r="C38" s="7">
        <v>5.0</v>
      </c>
      <c r="D38" s="6" t="s">
        <v>52</v>
      </c>
      <c r="E38" s="6" t="s">
        <v>53</v>
      </c>
      <c r="F38" s="5" t="s">
        <v>21</v>
      </c>
      <c r="G38" s="5" t="s">
        <v>21</v>
      </c>
      <c r="H38" s="6" t="s">
        <v>54</v>
      </c>
      <c r="I38" s="5" t="s">
        <v>21</v>
      </c>
      <c r="J38" s="5" t="s">
        <v>22</v>
      </c>
      <c r="K38" s="5" t="s">
        <v>21</v>
      </c>
      <c r="L38" s="7">
        <v>24565.35</v>
      </c>
      <c r="M38" s="5" t="s">
        <v>21</v>
      </c>
      <c r="N38" s="7">
        <v>1.0</v>
      </c>
      <c r="O38" s="7">
        <v>0.0</v>
      </c>
      <c r="P38" s="7">
        <v>24550.0</v>
      </c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4" t="s">
        <v>64</v>
      </c>
      <c r="B39" s="5" t="s">
        <v>17</v>
      </c>
      <c r="C39" s="7">
        <v>5.0</v>
      </c>
      <c r="D39" s="6" t="s">
        <v>52</v>
      </c>
      <c r="E39" s="6" t="s">
        <v>53</v>
      </c>
      <c r="F39" s="5" t="s">
        <v>21</v>
      </c>
      <c r="G39" s="5" t="s">
        <v>21</v>
      </c>
      <c r="H39" s="6" t="s">
        <v>54</v>
      </c>
      <c r="I39" s="5" t="s">
        <v>21</v>
      </c>
      <c r="J39" s="5" t="s">
        <v>22</v>
      </c>
      <c r="K39" s="5" t="s">
        <v>21</v>
      </c>
      <c r="L39" s="7">
        <v>24565.35</v>
      </c>
      <c r="M39" s="5" t="s">
        <v>21</v>
      </c>
      <c r="N39" s="7">
        <v>1.0</v>
      </c>
      <c r="O39" s="7">
        <v>0.0</v>
      </c>
      <c r="P39" s="7">
        <v>24550.0</v>
      </c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4" t="s">
        <v>65</v>
      </c>
      <c r="B40" s="5" t="s">
        <v>35</v>
      </c>
      <c r="C40" s="7">
        <v>5.0</v>
      </c>
      <c r="D40" s="6" t="s">
        <v>52</v>
      </c>
      <c r="E40" s="6" t="s">
        <v>53</v>
      </c>
      <c r="F40" s="5" t="s">
        <v>21</v>
      </c>
      <c r="G40" s="5" t="s">
        <v>21</v>
      </c>
      <c r="H40" s="6" t="s">
        <v>54</v>
      </c>
      <c r="I40" s="5" t="s">
        <v>21</v>
      </c>
      <c r="J40" s="5" t="s">
        <v>22</v>
      </c>
      <c r="K40" s="5" t="s">
        <v>21</v>
      </c>
      <c r="L40" s="7">
        <v>24565.35</v>
      </c>
      <c r="M40" s="5" t="s">
        <v>21</v>
      </c>
      <c r="N40" s="7">
        <v>1.0</v>
      </c>
      <c r="O40" s="7">
        <v>0.0</v>
      </c>
      <c r="P40" s="7">
        <v>24550.0</v>
      </c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4" t="s">
        <v>65</v>
      </c>
      <c r="B41" s="5" t="s">
        <v>17</v>
      </c>
      <c r="C41" s="7">
        <v>5.0</v>
      </c>
      <c r="D41" s="6" t="s">
        <v>52</v>
      </c>
      <c r="E41" s="6" t="s">
        <v>53</v>
      </c>
      <c r="F41" s="5" t="s">
        <v>21</v>
      </c>
      <c r="G41" s="5" t="s">
        <v>21</v>
      </c>
      <c r="H41" s="6" t="s">
        <v>54</v>
      </c>
      <c r="I41" s="5" t="s">
        <v>21</v>
      </c>
      <c r="J41" s="5" t="s">
        <v>22</v>
      </c>
      <c r="K41" s="5" t="s">
        <v>21</v>
      </c>
      <c r="L41" s="7">
        <v>24565.35</v>
      </c>
      <c r="M41" s="5" t="s">
        <v>21</v>
      </c>
      <c r="N41" s="7">
        <v>1.0</v>
      </c>
      <c r="O41" s="7">
        <v>0.0</v>
      </c>
      <c r="P41" s="7">
        <v>24550.0</v>
      </c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4" t="s">
        <v>65</v>
      </c>
      <c r="B42" s="5" t="s">
        <v>35</v>
      </c>
      <c r="C42" s="7">
        <v>5.0</v>
      </c>
      <c r="D42" s="6" t="s">
        <v>52</v>
      </c>
      <c r="E42" s="6" t="s">
        <v>53</v>
      </c>
      <c r="F42" s="5" t="s">
        <v>21</v>
      </c>
      <c r="G42" s="5" t="s">
        <v>21</v>
      </c>
      <c r="H42" s="6" t="s">
        <v>54</v>
      </c>
      <c r="I42" s="5" t="s">
        <v>21</v>
      </c>
      <c r="J42" s="5" t="s">
        <v>22</v>
      </c>
      <c r="K42" s="5" t="s">
        <v>21</v>
      </c>
      <c r="L42" s="7">
        <v>24565.35</v>
      </c>
      <c r="M42" s="5" t="s">
        <v>21</v>
      </c>
      <c r="N42" s="7">
        <v>1.0</v>
      </c>
      <c r="O42" s="7">
        <v>0.0</v>
      </c>
      <c r="P42" s="7">
        <v>24550.0</v>
      </c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4" t="s">
        <v>66</v>
      </c>
      <c r="B43" s="5" t="s">
        <v>35</v>
      </c>
      <c r="C43" s="7">
        <v>5.0</v>
      </c>
      <c r="D43" s="6" t="s">
        <v>52</v>
      </c>
      <c r="E43" s="6" t="s">
        <v>53</v>
      </c>
      <c r="F43" s="5" t="s">
        <v>21</v>
      </c>
      <c r="G43" s="5" t="s">
        <v>21</v>
      </c>
      <c r="H43" s="6" t="s">
        <v>54</v>
      </c>
      <c r="I43" s="5" t="s">
        <v>21</v>
      </c>
      <c r="J43" s="5" t="s">
        <v>22</v>
      </c>
      <c r="K43" s="5" t="s">
        <v>21</v>
      </c>
      <c r="L43" s="7">
        <v>24565.35</v>
      </c>
      <c r="M43" s="5" t="s">
        <v>21</v>
      </c>
      <c r="N43" s="7">
        <v>1.0</v>
      </c>
      <c r="O43" s="7">
        <v>0.0</v>
      </c>
      <c r="P43" s="7">
        <v>24550.0</v>
      </c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4" t="s">
        <v>67</v>
      </c>
      <c r="B44" s="5" t="s">
        <v>35</v>
      </c>
      <c r="C44" s="7">
        <v>5.0</v>
      </c>
      <c r="D44" s="6" t="s">
        <v>52</v>
      </c>
      <c r="E44" s="6" t="s">
        <v>53</v>
      </c>
      <c r="F44" s="5" t="s">
        <v>21</v>
      </c>
      <c r="G44" s="5" t="s">
        <v>21</v>
      </c>
      <c r="H44" s="6" t="s">
        <v>54</v>
      </c>
      <c r="I44" s="5" t="s">
        <v>21</v>
      </c>
      <c r="J44" s="5" t="s">
        <v>22</v>
      </c>
      <c r="K44" s="5" t="s">
        <v>21</v>
      </c>
      <c r="L44" s="7">
        <v>24565.35</v>
      </c>
      <c r="M44" s="5" t="s">
        <v>21</v>
      </c>
      <c r="N44" s="7">
        <v>1.0</v>
      </c>
      <c r="O44" s="7">
        <v>0.0</v>
      </c>
      <c r="P44" s="7">
        <v>24550.0</v>
      </c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4" t="s">
        <v>68</v>
      </c>
      <c r="B45" s="5" t="s">
        <v>35</v>
      </c>
      <c r="C45" s="7">
        <v>5.0</v>
      </c>
      <c r="D45" s="6" t="s">
        <v>52</v>
      </c>
      <c r="E45" s="6" t="s">
        <v>53</v>
      </c>
      <c r="F45" s="5" t="s">
        <v>21</v>
      </c>
      <c r="G45" s="5" t="s">
        <v>21</v>
      </c>
      <c r="H45" s="6" t="s">
        <v>54</v>
      </c>
      <c r="I45" s="5" t="s">
        <v>21</v>
      </c>
      <c r="J45" s="5" t="s">
        <v>22</v>
      </c>
      <c r="K45" s="5" t="s">
        <v>21</v>
      </c>
      <c r="L45" s="7">
        <v>24565.35</v>
      </c>
      <c r="M45" s="5" t="s">
        <v>21</v>
      </c>
      <c r="N45" s="7">
        <v>1.0</v>
      </c>
      <c r="O45" s="7">
        <v>0.0</v>
      </c>
      <c r="P45" s="7">
        <v>24550.0</v>
      </c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4" t="s">
        <v>69</v>
      </c>
      <c r="B46" s="5" t="s">
        <v>35</v>
      </c>
      <c r="C46" s="7">
        <v>5.0</v>
      </c>
      <c r="D46" s="6" t="s">
        <v>52</v>
      </c>
      <c r="E46" s="6" t="s">
        <v>53</v>
      </c>
      <c r="F46" s="5" t="s">
        <v>21</v>
      </c>
      <c r="G46" s="5" t="s">
        <v>21</v>
      </c>
      <c r="H46" s="6" t="s">
        <v>54</v>
      </c>
      <c r="I46" s="5" t="s">
        <v>21</v>
      </c>
      <c r="J46" s="5" t="s">
        <v>22</v>
      </c>
      <c r="K46" s="5" t="s">
        <v>21</v>
      </c>
      <c r="L46" s="7">
        <v>24565.35</v>
      </c>
      <c r="M46" s="5" t="s">
        <v>21</v>
      </c>
      <c r="N46" s="7">
        <v>1.0</v>
      </c>
      <c r="O46" s="7">
        <v>0.0</v>
      </c>
      <c r="P46" s="7">
        <v>24550.0</v>
      </c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4" t="s">
        <v>70</v>
      </c>
      <c r="B47" s="5" t="s">
        <v>35</v>
      </c>
      <c r="C47" s="7">
        <v>5.0</v>
      </c>
      <c r="D47" s="6" t="s">
        <v>52</v>
      </c>
      <c r="E47" s="6" t="s">
        <v>53</v>
      </c>
      <c r="F47" s="5" t="s">
        <v>21</v>
      </c>
      <c r="G47" s="5" t="s">
        <v>21</v>
      </c>
      <c r="H47" s="6" t="s">
        <v>54</v>
      </c>
      <c r="I47" s="5" t="s">
        <v>21</v>
      </c>
      <c r="J47" s="5" t="s">
        <v>22</v>
      </c>
      <c r="K47" s="5" t="s">
        <v>21</v>
      </c>
      <c r="L47" s="7">
        <v>24565.35</v>
      </c>
      <c r="M47" s="5" t="s">
        <v>21</v>
      </c>
      <c r="N47" s="7">
        <v>1.0</v>
      </c>
      <c r="O47" s="7">
        <v>0.0</v>
      </c>
      <c r="P47" s="7">
        <v>24550.0</v>
      </c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4" t="s">
        <v>71</v>
      </c>
      <c r="B48" s="5" t="s">
        <v>35</v>
      </c>
      <c r="C48" s="7">
        <v>30.0</v>
      </c>
      <c r="D48" s="7">
        <v>0.0</v>
      </c>
      <c r="E48" s="6" t="s">
        <v>72</v>
      </c>
      <c r="F48" s="5" t="s">
        <v>21</v>
      </c>
      <c r="G48" s="5" t="s">
        <v>21</v>
      </c>
      <c r="H48" s="6" t="s">
        <v>54</v>
      </c>
      <c r="I48" s="5" t="s">
        <v>21</v>
      </c>
      <c r="J48" s="5" t="s">
        <v>22</v>
      </c>
      <c r="K48" s="5" t="s">
        <v>21</v>
      </c>
      <c r="L48" s="7">
        <v>24565.35</v>
      </c>
      <c r="M48" s="5" t="s">
        <v>21</v>
      </c>
      <c r="N48" s="7">
        <v>1.0</v>
      </c>
      <c r="O48" s="7">
        <v>0.0</v>
      </c>
      <c r="P48" s="7">
        <v>24550.0</v>
      </c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4" t="s">
        <v>73</v>
      </c>
      <c r="B49" s="5" t="s">
        <v>35</v>
      </c>
      <c r="C49" s="7">
        <v>30.0</v>
      </c>
      <c r="D49" s="7">
        <v>0.0</v>
      </c>
      <c r="E49" s="6" t="s">
        <v>72</v>
      </c>
      <c r="F49" s="5" t="s">
        <v>21</v>
      </c>
      <c r="G49" s="5" t="s">
        <v>21</v>
      </c>
      <c r="H49" s="6" t="s">
        <v>54</v>
      </c>
      <c r="I49" s="5" t="s">
        <v>21</v>
      </c>
      <c r="J49" s="5" t="s">
        <v>22</v>
      </c>
      <c r="K49" s="5" t="s">
        <v>21</v>
      </c>
      <c r="L49" s="7">
        <v>24565.35</v>
      </c>
      <c r="M49" s="5" t="s">
        <v>21</v>
      </c>
      <c r="N49" s="7">
        <v>1.0</v>
      </c>
      <c r="O49" s="7">
        <v>0.0</v>
      </c>
      <c r="P49" s="7">
        <v>24550.0</v>
      </c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4" t="s">
        <v>74</v>
      </c>
      <c r="B50" s="5" t="s">
        <v>35</v>
      </c>
      <c r="C50" s="7">
        <v>30.0</v>
      </c>
      <c r="D50" s="7">
        <v>0.0</v>
      </c>
      <c r="E50" s="6" t="s">
        <v>72</v>
      </c>
      <c r="F50" s="5" t="s">
        <v>21</v>
      </c>
      <c r="G50" s="5" t="s">
        <v>21</v>
      </c>
      <c r="H50" s="6" t="s">
        <v>54</v>
      </c>
      <c r="I50" s="5" t="s">
        <v>21</v>
      </c>
      <c r="J50" s="5" t="s">
        <v>22</v>
      </c>
      <c r="K50" s="5" t="s">
        <v>21</v>
      </c>
      <c r="L50" s="7">
        <v>24565.35</v>
      </c>
      <c r="M50" s="5" t="s">
        <v>21</v>
      </c>
      <c r="N50" s="7">
        <v>1.0</v>
      </c>
      <c r="O50" s="7">
        <v>0.0</v>
      </c>
      <c r="P50" s="7">
        <v>24550.0</v>
      </c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4" t="s">
        <v>75</v>
      </c>
      <c r="B51" s="5" t="s">
        <v>35</v>
      </c>
      <c r="C51" s="7">
        <v>30.0</v>
      </c>
      <c r="D51" s="7">
        <v>0.0</v>
      </c>
      <c r="E51" s="6" t="s">
        <v>72</v>
      </c>
      <c r="F51" s="5" t="s">
        <v>21</v>
      </c>
      <c r="G51" s="5" t="s">
        <v>21</v>
      </c>
      <c r="H51" s="6" t="s">
        <v>54</v>
      </c>
      <c r="I51" s="5" t="s">
        <v>21</v>
      </c>
      <c r="J51" s="5" t="s">
        <v>22</v>
      </c>
      <c r="K51" s="5" t="s">
        <v>21</v>
      </c>
      <c r="L51" s="7">
        <v>24565.35</v>
      </c>
      <c r="M51" s="5" t="s">
        <v>21</v>
      </c>
      <c r="N51" s="7">
        <v>1.0</v>
      </c>
      <c r="O51" s="7">
        <v>0.0</v>
      </c>
      <c r="P51" s="7">
        <v>24550.0</v>
      </c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4" t="s">
        <v>76</v>
      </c>
      <c r="B52" s="5" t="s">
        <v>35</v>
      </c>
      <c r="C52" s="7">
        <v>30.0</v>
      </c>
      <c r="D52" s="7">
        <v>0.0</v>
      </c>
      <c r="E52" s="6" t="s">
        <v>72</v>
      </c>
      <c r="F52" s="5" t="s">
        <v>21</v>
      </c>
      <c r="G52" s="5" t="s">
        <v>21</v>
      </c>
      <c r="H52" s="6" t="s">
        <v>54</v>
      </c>
      <c r="I52" s="5" t="s">
        <v>21</v>
      </c>
      <c r="J52" s="5" t="s">
        <v>22</v>
      </c>
      <c r="K52" s="5" t="s">
        <v>21</v>
      </c>
      <c r="L52" s="7">
        <v>24565.35</v>
      </c>
      <c r="M52" s="5" t="s">
        <v>21</v>
      </c>
      <c r="N52" s="7">
        <v>1.0</v>
      </c>
      <c r="O52" s="7">
        <v>0.0</v>
      </c>
      <c r="P52" s="7">
        <v>24550.0</v>
      </c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4" t="s">
        <v>76</v>
      </c>
      <c r="B53" s="5" t="s">
        <v>35</v>
      </c>
      <c r="C53" s="7">
        <v>30.0</v>
      </c>
      <c r="D53" s="7">
        <v>0.0</v>
      </c>
      <c r="E53" s="6" t="s">
        <v>72</v>
      </c>
      <c r="F53" s="5" t="s">
        <v>21</v>
      </c>
      <c r="G53" s="5" t="s">
        <v>21</v>
      </c>
      <c r="H53" s="6" t="s">
        <v>54</v>
      </c>
      <c r="I53" s="5" t="s">
        <v>21</v>
      </c>
      <c r="J53" s="5" t="s">
        <v>22</v>
      </c>
      <c r="K53" s="5" t="s">
        <v>21</v>
      </c>
      <c r="L53" s="7">
        <v>24565.35</v>
      </c>
      <c r="M53" s="5" t="s">
        <v>21</v>
      </c>
      <c r="N53" s="7">
        <v>1.0</v>
      </c>
      <c r="O53" s="7">
        <v>0.0</v>
      </c>
      <c r="P53" s="7">
        <v>24550.0</v>
      </c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4" t="s">
        <v>77</v>
      </c>
      <c r="B54" s="5" t="s">
        <v>35</v>
      </c>
      <c r="C54" s="7">
        <v>30.0</v>
      </c>
      <c r="D54" s="7">
        <v>0.0</v>
      </c>
      <c r="E54" s="6" t="s">
        <v>72</v>
      </c>
      <c r="F54" s="5" t="s">
        <v>21</v>
      </c>
      <c r="G54" s="5" t="s">
        <v>21</v>
      </c>
      <c r="H54" s="6" t="s">
        <v>54</v>
      </c>
      <c r="I54" s="5" t="s">
        <v>21</v>
      </c>
      <c r="J54" s="5" t="s">
        <v>22</v>
      </c>
      <c r="K54" s="5" t="s">
        <v>21</v>
      </c>
      <c r="L54" s="7">
        <v>24565.35</v>
      </c>
      <c r="M54" s="5" t="s">
        <v>21</v>
      </c>
      <c r="N54" s="7">
        <v>1.0</v>
      </c>
      <c r="O54" s="7">
        <v>0.0</v>
      </c>
      <c r="P54" s="7">
        <v>24550.0</v>
      </c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4" t="s">
        <v>78</v>
      </c>
      <c r="B55" s="5" t="s">
        <v>35</v>
      </c>
      <c r="C55" s="7">
        <v>30.0</v>
      </c>
      <c r="D55" s="7">
        <v>0.0</v>
      </c>
      <c r="E55" s="6" t="s">
        <v>72</v>
      </c>
      <c r="F55" s="5" t="s">
        <v>21</v>
      </c>
      <c r="G55" s="5" t="s">
        <v>21</v>
      </c>
      <c r="H55" s="6" t="s">
        <v>54</v>
      </c>
      <c r="I55" s="5" t="s">
        <v>21</v>
      </c>
      <c r="J55" s="5" t="s">
        <v>22</v>
      </c>
      <c r="K55" s="5" t="s">
        <v>21</v>
      </c>
      <c r="L55" s="7">
        <v>24565.35</v>
      </c>
      <c r="M55" s="5" t="s">
        <v>21</v>
      </c>
      <c r="N55" s="7">
        <v>1.0</v>
      </c>
      <c r="O55" s="7">
        <v>0.0</v>
      </c>
      <c r="P55" s="7">
        <v>24550.0</v>
      </c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4" t="s">
        <v>79</v>
      </c>
      <c r="B56" s="5" t="s">
        <v>35</v>
      </c>
      <c r="C56" s="7">
        <v>30.0</v>
      </c>
      <c r="D56" s="7">
        <v>0.0</v>
      </c>
      <c r="E56" s="6" t="s">
        <v>72</v>
      </c>
      <c r="F56" s="5" t="s">
        <v>21</v>
      </c>
      <c r="G56" s="5" t="s">
        <v>21</v>
      </c>
      <c r="H56" s="6" t="s">
        <v>54</v>
      </c>
      <c r="I56" s="5" t="s">
        <v>21</v>
      </c>
      <c r="J56" s="5" t="s">
        <v>22</v>
      </c>
      <c r="K56" s="5" t="s">
        <v>21</v>
      </c>
      <c r="L56" s="7">
        <v>24565.35</v>
      </c>
      <c r="M56" s="5" t="s">
        <v>21</v>
      </c>
      <c r="N56" s="7">
        <v>1.0</v>
      </c>
      <c r="O56" s="7">
        <v>0.0</v>
      </c>
      <c r="P56" s="7">
        <v>24550.0</v>
      </c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4" t="s">
        <v>80</v>
      </c>
      <c r="B57" s="5" t="s">
        <v>35</v>
      </c>
      <c r="C57" s="7">
        <v>25.0</v>
      </c>
      <c r="D57" s="7">
        <v>0.0</v>
      </c>
      <c r="E57" s="6" t="s">
        <v>72</v>
      </c>
      <c r="F57" s="5" t="s">
        <v>21</v>
      </c>
      <c r="G57" s="5" t="s">
        <v>21</v>
      </c>
      <c r="H57" s="6" t="s">
        <v>54</v>
      </c>
      <c r="I57" s="5" t="s">
        <v>21</v>
      </c>
      <c r="J57" s="5" t="s">
        <v>22</v>
      </c>
      <c r="K57" s="5" t="s">
        <v>21</v>
      </c>
      <c r="L57" s="7">
        <v>24565.35</v>
      </c>
      <c r="M57" s="5" t="s">
        <v>21</v>
      </c>
      <c r="N57" s="7">
        <v>1.0</v>
      </c>
      <c r="O57" s="7">
        <v>0.0</v>
      </c>
      <c r="P57" s="7">
        <v>24550.0</v>
      </c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4" t="s">
        <v>81</v>
      </c>
      <c r="B58" s="5" t="s">
        <v>35</v>
      </c>
      <c r="C58" s="7">
        <v>25.0</v>
      </c>
      <c r="D58" s="7">
        <v>0.0</v>
      </c>
      <c r="E58" s="6" t="s">
        <v>72</v>
      </c>
      <c r="F58" s="5" t="s">
        <v>21</v>
      </c>
      <c r="G58" s="5" t="s">
        <v>21</v>
      </c>
      <c r="H58" s="6" t="s">
        <v>54</v>
      </c>
      <c r="I58" s="5" t="s">
        <v>21</v>
      </c>
      <c r="J58" s="5" t="s">
        <v>22</v>
      </c>
      <c r="K58" s="5" t="s">
        <v>21</v>
      </c>
      <c r="L58" s="7">
        <v>24565.35</v>
      </c>
      <c r="M58" s="5" t="s">
        <v>21</v>
      </c>
      <c r="N58" s="7">
        <v>1.0</v>
      </c>
      <c r="O58" s="7">
        <v>0.0</v>
      </c>
      <c r="P58" s="7">
        <v>24550.0</v>
      </c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4" t="s">
        <v>82</v>
      </c>
      <c r="B59" s="5" t="s">
        <v>35</v>
      </c>
      <c r="C59" s="7">
        <v>25.0</v>
      </c>
      <c r="D59" s="7">
        <v>0.0</v>
      </c>
      <c r="E59" s="6" t="s">
        <v>72</v>
      </c>
      <c r="F59" s="5" t="s">
        <v>21</v>
      </c>
      <c r="G59" s="5" t="s">
        <v>21</v>
      </c>
      <c r="H59" s="6" t="s">
        <v>54</v>
      </c>
      <c r="I59" s="5" t="s">
        <v>21</v>
      </c>
      <c r="J59" s="5" t="s">
        <v>22</v>
      </c>
      <c r="K59" s="5" t="s">
        <v>21</v>
      </c>
      <c r="L59" s="7">
        <v>24565.35</v>
      </c>
      <c r="M59" s="5" t="s">
        <v>21</v>
      </c>
      <c r="N59" s="7">
        <v>1.0</v>
      </c>
      <c r="O59" s="7">
        <v>0.0</v>
      </c>
      <c r="P59" s="7">
        <v>24550.0</v>
      </c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4" t="s">
        <v>83</v>
      </c>
      <c r="B60" s="5" t="s">
        <v>35</v>
      </c>
      <c r="C60" s="7">
        <v>25.0</v>
      </c>
      <c r="D60" s="7">
        <v>0.0</v>
      </c>
      <c r="E60" s="6" t="s">
        <v>72</v>
      </c>
      <c r="F60" s="5" t="s">
        <v>21</v>
      </c>
      <c r="G60" s="5" t="s">
        <v>21</v>
      </c>
      <c r="H60" s="6" t="s">
        <v>54</v>
      </c>
      <c r="I60" s="5" t="s">
        <v>21</v>
      </c>
      <c r="J60" s="5" t="s">
        <v>22</v>
      </c>
      <c r="K60" s="5" t="s">
        <v>21</v>
      </c>
      <c r="L60" s="7">
        <v>24565.35</v>
      </c>
      <c r="M60" s="5" t="s">
        <v>21</v>
      </c>
      <c r="N60" s="7">
        <v>1.0</v>
      </c>
      <c r="O60" s="7">
        <v>0.0</v>
      </c>
      <c r="P60" s="7">
        <v>24550.0</v>
      </c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9" t="s">
        <v>84</v>
      </c>
      <c r="B61" s="10" t="s">
        <v>35</v>
      </c>
      <c r="C61" s="11">
        <v>25.0</v>
      </c>
      <c r="D61" s="11">
        <v>0.0</v>
      </c>
      <c r="E61" s="12" t="s">
        <v>72</v>
      </c>
      <c r="F61" s="10" t="s">
        <v>21</v>
      </c>
      <c r="G61" s="10" t="s">
        <v>21</v>
      </c>
      <c r="H61" s="12" t="s">
        <v>54</v>
      </c>
      <c r="I61" s="10" t="s">
        <v>21</v>
      </c>
      <c r="J61" s="10" t="s">
        <v>22</v>
      </c>
      <c r="K61" s="10" t="s">
        <v>21</v>
      </c>
      <c r="L61" s="11">
        <v>24565.35</v>
      </c>
      <c r="M61" s="10" t="s">
        <v>21</v>
      </c>
      <c r="N61" s="11">
        <v>1.0</v>
      </c>
      <c r="O61" s="11">
        <v>0.0</v>
      </c>
      <c r="P61" s="11">
        <v>24550.0</v>
      </c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>
      <c r="A62" s="9" t="s">
        <v>85</v>
      </c>
      <c r="B62" s="10" t="s">
        <v>35</v>
      </c>
      <c r="C62" s="11">
        <v>25.0</v>
      </c>
      <c r="D62" s="11">
        <v>0.0</v>
      </c>
      <c r="E62" s="12" t="s">
        <v>72</v>
      </c>
      <c r="F62" s="10" t="s">
        <v>21</v>
      </c>
      <c r="G62" s="10" t="s">
        <v>21</v>
      </c>
      <c r="H62" s="12" t="s">
        <v>54</v>
      </c>
      <c r="I62" s="10" t="s">
        <v>21</v>
      </c>
      <c r="J62" s="10" t="s">
        <v>22</v>
      </c>
      <c r="K62" s="10" t="s">
        <v>21</v>
      </c>
      <c r="L62" s="11">
        <v>24596.05</v>
      </c>
      <c r="M62" s="10" t="s">
        <v>21</v>
      </c>
      <c r="N62" s="11">
        <v>1.0</v>
      </c>
      <c r="O62" s="11">
        <v>0.0</v>
      </c>
      <c r="P62" s="11">
        <v>24600.0</v>
      </c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>
      <c r="A63" s="9" t="s">
        <v>86</v>
      </c>
      <c r="B63" s="10" t="s">
        <v>35</v>
      </c>
      <c r="C63" s="11">
        <v>25.0</v>
      </c>
      <c r="D63" s="11">
        <v>0.0</v>
      </c>
      <c r="E63" s="12" t="s">
        <v>87</v>
      </c>
      <c r="F63" s="10" t="s">
        <v>21</v>
      </c>
      <c r="G63" s="10" t="s">
        <v>21</v>
      </c>
      <c r="H63" s="12" t="s">
        <v>54</v>
      </c>
      <c r="I63" s="10" t="s">
        <v>21</v>
      </c>
      <c r="J63" s="10" t="s">
        <v>22</v>
      </c>
      <c r="K63" s="10" t="s">
        <v>21</v>
      </c>
      <c r="L63" s="11">
        <v>24596.05</v>
      </c>
      <c r="M63" s="10" t="s">
        <v>21</v>
      </c>
      <c r="N63" s="11">
        <v>1.0</v>
      </c>
      <c r="O63" s="11">
        <v>0.0</v>
      </c>
      <c r="P63" s="11">
        <v>24600.0</v>
      </c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>
      <c r="A64" s="9" t="s">
        <v>88</v>
      </c>
      <c r="B64" s="10" t="s">
        <v>35</v>
      </c>
      <c r="C64" s="11">
        <v>25.0</v>
      </c>
      <c r="D64" s="11">
        <v>0.0</v>
      </c>
      <c r="E64" s="12" t="s">
        <v>89</v>
      </c>
      <c r="F64" s="10" t="s">
        <v>21</v>
      </c>
      <c r="G64" s="10" t="s">
        <v>21</v>
      </c>
      <c r="H64" s="12" t="s">
        <v>90</v>
      </c>
      <c r="I64" s="10" t="s">
        <v>21</v>
      </c>
      <c r="J64" s="10" t="s">
        <v>22</v>
      </c>
      <c r="K64" s="10" t="s">
        <v>21</v>
      </c>
      <c r="L64" s="11">
        <v>24638.45</v>
      </c>
      <c r="M64" s="10" t="s">
        <v>21</v>
      </c>
      <c r="N64" s="11">
        <v>1.0</v>
      </c>
      <c r="O64" s="11">
        <v>0.0</v>
      </c>
      <c r="P64" s="11">
        <v>24650.0</v>
      </c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>
      <c r="A65" s="9" t="s">
        <v>91</v>
      </c>
      <c r="B65" s="10" t="s">
        <v>35</v>
      </c>
      <c r="C65" s="11">
        <v>25.0</v>
      </c>
      <c r="D65" s="11">
        <v>0.0</v>
      </c>
      <c r="E65" s="12" t="s">
        <v>92</v>
      </c>
      <c r="F65" s="10" t="s">
        <v>21</v>
      </c>
      <c r="G65" s="10" t="s">
        <v>21</v>
      </c>
      <c r="H65" s="12" t="s">
        <v>93</v>
      </c>
      <c r="I65" s="10" t="s">
        <v>21</v>
      </c>
      <c r="J65" s="10" t="s">
        <v>22</v>
      </c>
      <c r="K65" s="10" t="s">
        <v>21</v>
      </c>
      <c r="L65" s="11">
        <v>24648.75</v>
      </c>
      <c r="M65" s="10" t="s">
        <v>21</v>
      </c>
      <c r="N65" s="11">
        <v>1.0</v>
      </c>
      <c r="O65" s="11">
        <v>0.0</v>
      </c>
      <c r="P65" s="11">
        <v>24650.0</v>
      </c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>
      <c r="A66" s="9" t="s">
        <v>94</v>
      </c>
      <c r="B66" s="10" t="s">
        <v>35</v>
      </c>
      <c r="C66" s="11">
        <v>25.0</v>
      </c>
      <c r="D66" s="11">
        <v>0.0</v>
      </c>
      <c r="E66" s="12" t="s">
        <v>95</v>
      </c>
      <c r="F66" s="10" t="s">
        <v>21</v>
      </c>
      <c r="G66" s="10" t="s">
        <v>21</v>
      </c>
      <c r="H66" s="12" t="s">
        <v>96</v>
      </c>
      <c r="I66" s="10" t="s">
        <v>21</v>
      </c>
      <c r="J66" s="10" t="s">
        <v>22</v>
      </c>
      <c r="K66" s="10" t="s">
        <v>21</v>
      </c>
      <c r="L66" s="11">
        <v>24659.55</v>
      </c>
      <c r="M66" s="10" t="s">
        <v>21</v>
      </c>
      <c r="N66" s="11">
        <v>1.0</v>
      </c>
      <c r="O66" s="11">
        <v>0.0</v>
      </c>
      <c r="P66" s="11">
        <v>24650.0</v>
      </c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>
      <c r="A67" s="9" t="s">
        <v>97</v>
      </c>
      <c r="B67" s="10" t="s">
        <v>35</v>
      </c>
      <c r="C67" s="11">
        <v>25.0</v>
      </c>
      <c r="D67" s="11">
        <v>0.0</v>
      </c>
      <c r="E67" s="12" t="s">
        <v>98</v>
      </c>
      <c r="F67" s="10" t="s">
        <v>21</v>
      </c>
      <c r="G67" s="10" t="s">
        <v>21</v>
      </c>
      <c r="H67" s="12" t="s">
        <v>99</v>
      </c>
      <c r="I67" s="10" t="s">
        <v>21</v>
      </c>
      <c r="J67" s="10" t="s">
        <v>22</v>
      </c>
      <c r="K67" s="10" t="s">
        <v>21</v>
      </c>
      <c r="L67" s="11">
        <v>24646.95</v>
      </c>
      <c r="M67" s="10" t="s">
        <v>21</v>
      </c>
      <c r="N67" s="11">
        <v>1.0</v>
      </c>
      <c r="O67" s="11">
        <v>0.0</v>
      </c>
      <c r="P67" s="11">
        <v>24650.0</v>
      </c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>
      <c r="A68" s="9" t="s">
        <v>100</v>
      </c>
      <c r="B68" s="10" t="s">
        <v>35</v>
      </c>
      <c r="C68" s="11">
        <v>15.0</v>
      </c>
      <c r="D68" s="11">
        <v>0.0</v>
      </c>
      <c r="E68" s="12" t="s">
        <v>101</v>
      </c>
      <c r="F68" s="10" t="s">
        <v>21</v>
      </c>
      <c r="G68" s="10" t="s">
        <v>21</v>
      </c>
      <c r="H68" s="12" t="s">
        <v>102</v>
      </c>
      <c r="I68" s="10" t="s">
        <v>21</v>
      </c>
      <c r="J68" s="10" t="s">
        <v>22</v>
      </c>
      <c r="K68" s="10" t="s">
        <v>21</v>
      </c>
      <c r="L68" s="11">
        <v>24604.4</v>
      </c>
      <c r="M68" s="10" t="s">
        <v>21</v>
      </c>
      <c r="N68" s="11">
        <v>1.0</v>
      </c>
      <c r="O68" s="11">
        <v>0.0</v>
      </c>
      <c r="P68" s="11">
        <v>24600.0</v>
      </c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>
      <c r="A69" s="9" t="s">
        <v>103</v>
      </c>
      <c r="B69" s="10" t="s">
        <v>35</v>
      </c>
      <c r="C69" s="11">
        <v>25.0</v>
      </c>
      <c r="D69" s="11">
        <v>0.0</v>
      </c>
      <c r="E69" s="12" t="s">
        <v>104</v>
      </c>
      <c r="F69" s="10" t="s">
        <v>21</v>
      </c>
      <c r="G69" s="10" t="s">
        <v>21</v>
      </c>
      <c r="H69" s="12" t="s">
        <v>105</v>
      </c>
      <c r="I69" s="10" t="s">
        <v>21</v>
      </c>
      <c r="J69" s="10" t="s">
        <v>22</v>
      </c>
      <c r="K69" s="10" t="s">
        <v>21</v>
      </c>
      <c r="L69" s="11">
        <v>24592.2</v>
      </c>
      <c r="M69" s="10" t="s">
        <v>21</v>
      </c>
      <c r="N69" s="11">
        <v>1.0</v>
      </c>
      <c r="O69" s="11">
        <v>0.0</v>
      </c>
      <c r="P69" s="11">
        <v>24600.0</v>
      </c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>
      <c r="A70" s="9" t="s">
        <v>106</v>
      </c>
      <c r="B70" s="10" t="s">
        <v>35</v>
      </c>
      <c r="C70" s="11">
        <v>25.0</v>
      </c>
      <c r="D70" s="11">
        <v>0.0</v>
      </c>
      <c r="E70" s="12" t="s">
        <v>107</v>
      </c>
      <c r="F70" s="10" t="s">
        <v>21</v>
      </c>
      <c r="G70" s="10" t="s">
        <v>21</v>
      </c>
      <c r="H70" s="12" t="s">
        <v>108</v>
      </c>
      <c r="I70" s="10" t="s">
        <v>21</v>
      </c>
      <c r="J70" s="10" t="s">
        <v>22</v>
      </c>
      <c r="K70" s="10" t="s">
        <v>21</v>
      </c>
      <c r="L70" s="11">
        <v>24607.3</v>
      </c>
      <c r="M70" s="10" t="s">
        <v>21</v>
      </c>
      <c r="N70" s="11">
        <v>1.0</v>
      </c>
      <c r="O70" s="11">
        <v>0.0</v>
      </c>
      <c r="P70" s="11">
        <v>24600.0</v>
      </c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>
      <c r="A71" s="14" t="s">
        <v>109</v>
      </c>
      <c r="B71" s="15" t="s">
        <v>35</v>
      </c>
      <c r="C71" s="16">
        <v>25.0</v>
      </c>
      <c r="D71" s="16">
        <v>0.0</v>
      </c>
      <c r="E71" s="17" t="s">
        <v>110</v>
      </c>
      <c r="F71" s="15" t="s">
        <v>21</v>
      </c>
      <c r="G71" s="15" t="s">
        <v>21</v>
      </c>
      <c r="H71" s="17" t="s">
        <v>111</v>
      </c>
      <c r="I71" s="15" t="s">
        <v>21</v>
      </c>
      <c r="J71" s="15" t="s">
        <v>22</v>
      </c>
      <c r="K71" s="15" t="s">
        <v>21</v>
      </c>
      <c r="L71" s="16">
        <v>24609.3</v>
      </c>
      <c r="M71" s="15" t="s">
        <v>21</v>
      </c>
      <c r="N71" s="16">
        <v>1.0</v>
      </c>
      <c r="O71" s="16">
        <v>0.0</v>
      </c>
      <c r="P71" s="16">
        <v>24600.0</v>
      </c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>
      <c r="A72" s="14" t="s">
        <v>112</v>
      </c>
      <c r="B72" s="15" t="s">
        <v>35</v>
      </c>
      <c r="C72" s="16">
        <v>25.0</v>
      </c>
      <c r="D72" s="16">
        <v>0.0</v>
      </c>
      <c r="E72" s="17" t="s">
        <v>113</v>
      </c>
      <c r="F72" s="15" t="s">
        <v>21</v>
      </c>
      <c r="G72" s="15" t="s">
        <v>21</v>
      </c>
      <c r="H72" s="17" t="s">
        <v>114</v>
      </c>
      <c r="I72" s="15" t="s">
        <v>21</v>
      </c>
      <c r="J72" s="15" t="s">
        <v>22</v>
      </c>
      <c r="K72" s="15" t="s">
        <v>21</v>
      </c>
      <c r="L72" s="16">
        <v>24625.7</v>
      </c>
      <c r="M72" s="15" t="s">
        <v>21</v>
      </c>
      <c r="N72" s="16">
        <v>1.0</v>
      </c>
      <c r="O72" s="16">
        <v>0.0</v>
      </c>
      <c r="P72" s="16">
        <v>24650.0</v>
      </c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>
      <c r="A73" s="14" t="s">
        <v>115</v>
      </c>
      <c r="B73" s="15" t="s">
        <v>35</v>
      </c>
      <c r="C73" s="16">
        <v>25.0</v>
      </c>
      <c r="D73" s="16">
        <v>0.0</v>
      </c>
      <c r="E73" s="17" t="s">
        <v>116</v>
      </c>
      <c r="F73" s="15" t="s">
        <v>21</v>
      </c>
      <c r="G73" s="15" t="s">
        <v>21</v>
      </c>
      <c r="H73" s="17" t="s">
        <v>117</v>
      </c>
      <c r="I73" s="15" t="s">
        <v>21</v>
      </c>
      <c r="J73" s="15" t="s">
        <v>22</v>
      </c>
      <c r="K73" s="15" t="s">
        <v>21</v>
      </c>
      <c r="L73" s="16">
        <v>24625.7</v>
      </c>
      <c r="M73" s="15" t="s">
        <v>21</v>
      </c>
      <c r="N73" s="16">
        <v>1.0</v>
      </c>
      <c r="O73" s="16">
        <v>0.0</v>
      </c>
      <c r="P73" s="16">
        <v>24650.0</v>
      </c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>
      <c r="A74" s="14" t="s">
        <v>118</v>
      </c>
      <c r="B74" s="15" t="s">
        <v>35</v>
      </c>
      <c r="C74" s="16">
        <v>10.0</v>
      </c>
      <c r="D74" s="16">
        <v>0.0</v>
      </c>
      <c r="E74" s="17" t="s">
        <v>119</v>
      </c>
      <c r="F74" s="15" t="s">
        <v>21</v>
      </c>
      <c r="G74" s="15" t="s">
        <v>21</v>
      </c>
      <c r="H74" s="17" t="s">
        <v>120</v>
      </c>
      <c r="I74" s="15" t="s">
        <v>21</v>
      </c>
      <c r="J74" s="15" t="s">
        <v>22</v>
      </c>
      <c r="K74" s="15" t="s">
        <v>21</v>
      </c>
      <c r="L74" s="16">
        <v>24626.3</v>
      </c>
      <c r="M74" s="15" t="s">
        <v>21</v>
      </c>
      <c r="N74" s="16">
        <v>1.0</v>
      </c>
      <c r="O74" s="16">
        <v>0.0</v>
      </c>
      <c r="P74" s="16">
        <v>24650.0</v>
      </c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>
      <c r="A75" s="14" t="s">
        <v>121</v>
      </c>
      <c r="B75" s="15" t="s">
        <v>35</v>
      </c>
      <c r="C75" s="16">
        <v>15.0</v>
      </c>
      <c r="D75" s="17" t="s">
        <v>122</v>
      </c>
      <c r="E75" s="17" t="s">
        <v>123</v>
      </c>
      <c r="F75" s="15" t="s">
        <v>21</v>
      </c>
      <c r="G75" s="15" t="s">
        <v>21</v>
      </c>
      <c r="H75" s="17" t="s">
        <v>124</v>
      </c>
      <c r="I75" s="15" t="s">
        <v>21</v>
      </c>
      <c r="J75" s="15" t="s">
        <v>22</v>
      </c>
      <c r="K75" s="15" t="s">
        <v>21</v>
      </c>
      <c r="L75" s="16">
        <v>24632.65</v>
      </c>
      <c r="M75" s="15" t="s">
        <v>21</v>
      </c>
      <c r="N75" s="16">
        <v>1.0</v>
      </c>
      <c r="O75" s="16">
        <v>0.0</v>
      </c>
      <c r="P75" s="16">
        <v>24650.0</v>
      </c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>
      <c r="A76" s="14" t="s">
        <v>125</v>
      </c>
      <c r="B76" s="15" t="s">
        <v>35</v>
      </c>
      <c r="C76" s="16">
        <v>10.0</v>
      </c>
      <c r="D76" s="17" t="s">
        <v>126</v>
      </c>
      <c r="E76" s="17" t="s">
        <v>127</v>
      </c>
      <c r="F76" s="15" t="s">
        <v>21</v>
      </c>
      <c r="G76" s="15" t="s">
        <v>21</v>
      </c>
      <c r="H76" s="17" t="s">
        <v>128</v>
      </c>
      <c r="I76" s="15" t="s">
        <v>21</v>
      </c>
      <c r="J76" s="15" t="s">
        <v>22</v>
      </c>
      <c r="K76" s="15" t="s">
        <v>21</v>
      </c>
      <c r="L76" s="16">
        <v>24647.95</v>
      </c>
      <c r="M76" s="15" t="s">
        <v>21</v>
      </c>
      <c r="N76" s="16">
        <v>1.0</v>
      </c>
      <c r="O76" s="16">
        <v>0.0</v>
      </c>
      <c r="P76" s="16">
        <v>24650.0</v>
      </c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>
      <c r="A77" s="14" t="s">
        <v>129</v>
      </c>
      <c r="B77" s="15" t="s">
        <v>35</v>
      </c>
      <c r="C77" s="16">
        <v>20.0</v>
      </c>
      <c r="D77" s="17" t="s">
        <v>130</v>
      </c>
      <c r="E77" s="17" t="s">
        <v>131</v>
      </c>
      <c r="F77" s="15" t="s">
        <v>21</v>
      </c>
      <c r="G77" s="15" t="s">
        <v>21</v>
      </c>
      <c r="H77" s="17" t="s">
        <v>132</v>
      </c>
      <c r="I77" s="15" t="s">
        <v>21</v>
      </c>
      <c r="J77" s="15" t="s">
        <v>22</v>
      </c>
      <c r="K77" s="15" t="s">
        <v>21</v>
      </c>
      <c r="L77" s="16">
        <v>24622.4</v>
      </c>
      <c r="M77" s="15" t="s">
        <v>21</v>
      </c>
      <c r="N77" s="16">
        <v>1.0</v>
      </c>
      <c r="O77" s="16">
        <v>0.0</v>
      </c>
      <c r="P77" s="16">
        <v>24600.0</v>
      </c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>
      <c r="A78" s="14" t="s">
        <v>133</v>
      </c>
      <c r="B78" s="15" t="s">
        <v>35</v>
      </c>
      <c r="C78" s="16">
        <v>10.0</v>
      </c>
      <c r="D78" s="17" t="s">
        <v>134</v>
      </c>
      <c r="E78" s="17" t="s">
        <v>135</v>
      </c>
      <c r="F78" s="15" t="s">
        <v>21</v>
      </c>
      <c r="G78" s="15" t="s">
        <v>21</v>
      </c>
      <c r="H78" s="17" t="s">
        <v>124</v>
      </c>
      <c r="I78" s="15" t="s">
        <v>21</v>
      </c>
      <c r="J78" s="15" t="s">
        <v>22</v>
      </c>
      <c r="K78" s="15" t="s">
        <v>21</v>
      </c>
      <c r="L78" s="16">
        <v>24637.75</v>
      </c>
      <c r="M78" s="15" t="s">
        <v>21</v>
      </c>
      <c r="N78" s="16">
        <v>1.0</v>
      </c>
      <c r="O78" s="16">
        <v>0.0</v>
      </c>
      <c r="P78" s="16">
        <v>24650.0</v>
      </c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>
      <c r="A79" s="14" t="s">
        <v>136</v>
      </c>
      <c r="B79" s="15" t="s">
        <v>35</v>
      </c>
      <c r="C79" s="16">
        <v>10.0</v>
      </c>
      <c r="D79" s="17" t="s">
        <v>137</v>
      </c>
      <c r="E79" s="17" t="s">
        <v>138</v>
      </c>
      <c r="F79" s="15" t="s">
        <v>21</v>
      </c>
      <c r="G79" s="15" t="s">
        <v>21</v>
      </c>
      <c r="H79" s="17" t="s">
        <v>139</v>
      </c>
      <c r="I79" s="15" t="s">
        <v>21</v>
      </c>
      <c r="J79" s="15" t="s">
        <v>22</v>
      </c>
      <c r="K79" s="15" t="s">
        <v>21</v>
      </c>
      <c r="L79" s="16">
        <v>24649.5</v>
      </c>
      <c r="M79" s="15" t="s">
        <v>21</v>
      </c>
      <c r="N79" s="16">
        <v>1.0</v>
      </c>
      <c r="O79" s="16">
        <v>0.0</v>
      </c>
      <c r="P79" s="16">
        <v>24650.0</v>
      </c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>
      <c r="A80" s="14" t="s">
        <v>140</v>
      </c>
      <c r="B80" s="15" t="s">
        <v>35</v>
      </c>
      <c r="C80" s="16">
        <v>10.0</v>
      </c>
      <c r="D80" s="17" t="s">
        <v>141</v>
      </c>
      <c r="E80" s="17" t="s">
        <v>142</v>
      </c>
      <c r="F80" s="15" t="s">
        <v>21</v>
      </c>
      <c r="G80" s="15" t="s">
        <v>21</v>
      </c>
      <c r="H80" s="17" t="s">
        <v>128</v>
      </c>
      <c r="I80" s="15" t="s">
        <v>21</v>
      </c>
      <c r="J80" s="15" t="s">
        <v>22</v>
      </c>
      <c r="K80" s="15" t="s">
        <v>21</v>
      </c>
      <c r="L80" s="16">
        <v>24642.85</v>
      </c>
      <c r="M80" s="15" t="s">
        <v>21</v>
      </c>
      <c r="N80" s="16">
        <v>1.0</v>
      </c>
      <c r="O80" s="16">
        <v>0.0</v>
      </c>
      <c r="P80" s="16">
        <v>24650.0</v>
      </c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>
      <c r="A81" s="14" t="s">
        <v>143</v>
      </c>
      <c r="B81" s="15" t="s">
        <v>35</v>
      </c>
      <c r="C81" s="16">
        <v>0.0</v>
      </c>
      <c r="D81" s="17" t="s">
        <v>144</v>
      </c>
      <c r="E81" s="17" t="s">
        <v>145</v>
      </c>
      <c r="F81" s="15" t="s">
        <v>21</v>
      </c>
      <c r="G81" s="15" t="s">
        <v>21</v>
      </c>
      <c r="H81" s="17" t="s">
        <v>120</v>
      </c>
      <c r="I81" s="15" t="s">
        <v>21</v>
      </c>
      <c r="J81" s="15" t="s">
        <v>22</v>
      </c>
      <c r="K81" s="15" t="s">
        <v>21</v>
      </c>
      <c r="L81" s="16">
        <v>24618.1</v>
      </c>
      <c r="M81" s="15" t="s">
        <v>21</v>
      </c>
      <c r="N81" s="16">
        <v>1.0</v>
      </c>
      <c r="O81" s="16">
        <v>0.0</v>
      </c>
      <c r="P81" s="16">
        <v>24600.0</v>
      </c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>
      <c r="A82" s="14" t="s">
        <v>146</v>
      </c>
      <c r="B82" s="15" t="s">
        <v>35</v>
      </c>
      <c r="C82" s="16">
        <v>5.0</v>
      </c>
      <c r="D82" s="17" t="s">
        <v>147</v>
      </c>
      <c r="E82" s="17" t="s">
        <v>148</v>
      </c>
      <c r="F82" s="15" t="s">
        <v>21</v>
      </c>
      <c r="G82" s="15" t="s">
        <v>21</v>
      </c>
      <c r="H82" s="17" t="s">
        <v>117</v>
      </c>
      <c r="I82" s="15" t="s">
        <v>21</v>
      </c>
      <c r="J82" s="15" t="s">
        <v>22</v>
      </c>
      <c r="K82" s="15" t="s">
        <v>21</v>
      </c>
      <c r="L82" s="16">
        <v>24621.95</v>
      </c>
      <c r="M82" s="15" t="s">
        <v>21</v>
      </c>
      <c r="N82" s="16">
        <v>1.0</v>
      </c>
      <c r="O82" s="16">
        <v>0.0</v>
      </c>
      <c r="P82" s="16">
        <v>24600.0</v>
      </c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>
      <c r="A83" s="14" t="s">
        <v>149</v>
      </c>
      <c r="B83" s="15" t="s">
        <v>35</v>
      </c>
      <c r="C83" s="16">
        <v>0.0</v>
      </c>
      <c r="D83" s="17" t="s">
        <v>150</v>
      </c>
      <c r="E83" s="17" t="s">
        <v>151</v>
      </c>
      <c r="F83" s="15" t="s">
        <v>21</v>
      </c>
      <c r="G83" s="15" t="s">
        <v>21</v>
      </c>
      <c r="H83" s="17" t="s">
        <v>152</v>
      </c>
      <c r="I83" s="15" t="s">
        <v>21</v>
      </c>
      <c r="J83" s="15" t="s">
        <v>22</v>
      </c>
      <c r="K83" s="15" t="s">
        <v>21</v>
      </c>
      <c r="L83" s="16">
        <v>24625.95</v>
      </c>
      <c r="M83" s="15" t="s">
        <v>21</v>
      </c>
      <c r="N83" s="16">
        <v>1.0</v>
      </c>
      <c r="O83" s="16">
        <v>0.0</v>
      </c>
      <c r="P83" s="16">
        <v>24650.0</v>
      </c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>
      <c r="A84" s="14" t="s">
        <v>153</v>
      </c>
      <c r="B84" s="15" t="s">
        <v>35</v>
      </c>
      <c r="C84" s="16">
        <v>15.0</v>
      </c>
      <c r="D84" s="17" t="s">
        <v>154</v>
      </c>
      <c r="E84" s="17" t="s">
        <v>155</v>
      </c>
      <c r="F84" s="15" t="s">
        <v>21</v>
      </c>
      <c r="G84" s="15" t="s">
        <v>21</v>
      </c>
      <c r="H84" s="17" t="s">
        <v>128</v>
      </c>
      <c r="I84" s="15" t="s">
        <v>21</v>
      </c>
      <c r="J84" s="15" t="s">
        <v>22</v>
      </c>
      <c r="K84" s="15" t="s">
        <v>21</v>
      </c>
      <c r="L84" s="16">
        <v>24653.45</v>
      </c>
      <c r="M84" s="15" t="s">
        <v>21</v>
      </c>
      <c r="N84" s="16">
        <v>1.0</v>
      </c>
      <c r="O84" s="16">
        <v>0.0</v>
      </c>
      <c r="P84" s="16">
        <v>24650.0</v>
      </c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>
      <c r="A85" s="14" t="s">
        <v>156</v>
      </c>
      <c r="B85" s="15" t="s">
        <v>35</v>
      </c>
      <c r="C85" s="16">
        <v>15.0</v>
      </c>
      <c r="D85" s="17" t="s">
        <v>157</v>
      </c>
      <c r="E85" s="17" t="s">
        <v>158</v>
      </c>
      <c r="F85" s="15" t="s">
        <v>21</v>
      </c>
      <c r="G85" s="15" t="s">
        <v>21</v>
      </c>
      <c r="H85" s="17" t="s">
        <v>159</v>
      </c>
      <c r="I85" s="15" t="s">
        <v>21</v>
      </c>
      <c r="J85" s="15" t="s">
        <v>22</v>
      </c>
      <c r="K85" s="15" t="s">
        <v>21</v>
      </c>
      <c r="L85" s="16">
        <v>24665.3</v>
      </c>
      <c r="M85" s="15" t="s">
        <v>21</v>
      </c>
      <c r="N85" s="16">
        <v>1.0</v>
      </c>
      <c r="O85" s="16">
        <v>0.0</v>
      </c>
      <c r="P85" s="16">
        <v>24650.0</v>
      </c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>
      <c r="A86" s="14" t="s">
        <v>160</v>
      </c>
      <c r="B86" s="15" t="s">
        <v>35</v>
      </c>
      <c r="C86" s="16">
        <v>25.0</v>
      </c>
      <c r="D86" s="17" t="s">
        <v>161</v>
      </c>
      <c r="E86" s="17" t="s">
        <v>162</v>
      </c>
      <c r="F86" s="15" t="s">
        <v>21</v>
      </c>
      <c r="G86" s="15" t="s">
        <v>21</v>
      </c>
      <c r="H86" s="17" t="s">
        <v>124</v>
      </c>
      <c r="I86" s="15" t="s">
        <v>21</v>
      </c>
      <c r="J86" s="15" t="s">
        <v>22</v>
      </c>
      <c r="K86" s="15" t="s">
        <v>21</v>
      </c>
      <c r="L86" s="16">
        <v>24666.8</v>
      </c>
      <c r="M86" s="15" t="s">
        <v>21</v>
      </c>
      <c r="N86" s="16">
        <v>1.0</v>
      </c>
      <c r="O86" s="16">
        <v>0.0</v>
      </c>
      <c r="P86" s="16">
        <v>24650.0</v>
      </c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>
      <c r="A87" s="14" t="s">
        <v>163</v>
      </c>
      <c r="B87" s="15" t="s">
        <v>35</v>
      </c>
      <c r="C87" s="16">
        <v>25.0</v>
      </c>
      <c r="D87" s="17" t="s">
        <v>164</v>
      </c>
      <c r="E87" s="17" t="s">
        <v>165</v>
      </c>
      <c r="F87" s="15" t="s">
        <v>21</v>
      </c>
      <c r="G87" s="15" t="s">
        <v>21</v>
      </c>
      <c r="H87" s="17" t="s">
        <v>93</v>
      </c>
      <c r="I87" s="15" t="s">
        <v>21</v>
      </c>
      <c r="J87" s="15" t="s">
        <v>22</v>
      </c>
      <c r="K87" s="15" t="s">
        <v>21</v>
      </c>
      <c r="L87" s="16">
        <v>24676.6</v>
      </c>
      <c r="M87" s="15" t="s">
        <v>21</v>
      </c>
      <c r="N87" s="16">
        <v>1.0</v>
      </c>
      <c r="O87" s="16">
        <v>0.0</v>
      </c>
      <c r="P87" s="16">
        <v>24700.0</v>
      </c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>
      <c r="A88" s="14" t="s">
        <v>166</v>
      </c>
      <c r="B88" s="15" t="s">
        <v>35</v>
      </c>
      <c r="C88" s="16">
        <v>15.0</v>
      </c>
      <c r="D88" s="17" t="s">
        <v>167</v>
      </c>
      <c r="E88" s="17" t="s">
        <v>168</v>
      </c>
      <c r="F88" s="15" t="s">
        <v>21</v>
      </c>
      <c r="G88" s="15" t="s">
        <v>21</v>
      </c>
      <c r="H88" s="17" t="s">
        <v>169</v>
      </c>
      <c r="I88" s="15" t="s">
        <v>21</v>
      </c>
      <c r="J88" s="15" t="s">
        <v>22</v>
      </c>
      <c r="K88" s="15" t="s">
        <v>21</v>
      </c>
      <c r="L88" s="16">
        <v>24665.9</v>
      </c>
      <c r="M88" s="15" t="s">
        <v>21</v>
      </c>
      <c r="N88" s="16">
        <v>1.0</v>
      </c>
      <c r="O88" s="16">
        <v>0.0</v>
      </c>
      <c r="P88" s="16">
        <v>24650.0</v>
      </c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>
      <c r="A89" s="14" t="s">
        <v>170</v>
      </c>
      <c r="B89" s="15" t="s">
        <v>35</v>
      </c>
      <c r="C89" s="16">
        <v>30.0</v>
      </c>
      <c r="D89" s="17" t="s">
        <v>171</v>
      </c>
      <c r="E89" s="17" t="s">
        <v>172</v>
      </c>
      <c r="F89" s="15" t="s">
        <v>21</v>
      </c>
      <c r="G89" s="15" t="s">
        <v>21</v>
      </c>
      <c r="H89" s="17" t="s">
        <v>169</v>
      </c>
      <c r="I89" s="15" t="s">
        <v>21</v>
      </c>
      <c r="J89" s="15" t="s">
        <v>22</v>
      </c>
      <c r="K89" s="15" t="s">
        <v>21</v>
      </c>
      <c r="L89" s="16">
        <v>24672.5</v>
      </c>
      <c r="M89" s="15" t="s">
        <v>21</v>
      </c>
      <c r="N89" s="16">
        <v>1.0</v>
      </c>
      <c r="O89" s="16">
        <v>0.0</v>
      </c>
      <c r="P89" s="16">
        <v>24650.0</v>
      </c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>
      <c r="A90" s="14" t="s">
        <v>173</v>
      </c>
      <c r="B90" s="15" t="s">
        <v>35</v>
      </c>
      <c r="C90" s="16">
        <v>20.0</v>
      </c>
      <c r="D90" s="17" t="s">
        <v>174</v>
      </c>
      <c r="E90" s="17" t="s">
        <v>175</v>
      </c>
      <c r="F90" s="15" t="s">
        <v>21</v>
      </c>
      <c r="G90" s="15" t="s">
        <v>21</v>
      </c>
      <c r="H90" s="17" t="s">
        <v>169</v>
      </c>
      <c r="I90" s="15" t="s">
        <v>21</v>
      </c>
      <c r="J90" s="15" t="s">
        <v>22</v>
      </c>
      <c r="K90" s="15" t="s">
        <v>21</v>
      </c>
      <c r="L90" s="16">
        <v>24654.7</v>
      </c>
      <c r="M90" s="15" t="s">
        <v>21</v>
      </c>
      <c r="N90" s="16">
        <v>1.0</v>
      </c>
      <c r="O90" s="16">
        <v>0.0</v>
      </c>
      <c r="P90" s="16">
        <v>24650.0</v>
      </c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>
      <c r="A91" s="14" t="s">
        <v>176</v>
      </c>
      <c r="B91" s="15" t="s">
        <v>35</v>
      </c>
      <c r="C91" s="16">
        <v>20.0</v>
      </c>
      <c r="D91" s="17" t="s">
        <v>177</v>
      </c>
      <c r="E91" s="17" t="s">
        <v>178</v>
      </c>
      <c r="F91" s="15" t="s">
        <v>21</v>
      </c>
      <c r="G91" s="15" t="s">
        <v>21</v>
      </c>
      <c r="H91" s="17" t="s">
        <v>179</v>
      </c>
      <c r="I91" s="15" t="s">
        <v>21</v>
      </c>
      <c r="J91" s="15" t="s">
        <v>22</v>
      </c>
      <c r="K91" s="15" t="s">
        <v>21</v>
      </c>
      <c r="L91" s="16">
        <v>24669.4</v>
      </c>
      <c r="M91" s="15" t="s">
        <v>21</v>
      </c>
      <c r="N91" s="16">
        <v>1.0</v>
      </c>
      <c r="O91" s="16">
        <v>0.0</v>
      </c>
      <c r="P91" s="16">
        <v>24650.0</v>
      </c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>
      <c r="A92" s="14" t="s">
        <v>180</v>
      </c>
      <c r="B92" s="15" t="s">
        <v>35</v>
      </c>
      <c r="C92" s="16">
        <v>20.0</v>
      </c>
      <c r="D92" s="17" t="s">
        <v>181</v>
      </c>
      <c r="E92" s="17" t="s">
        <v>182</v>
      </c>
      <c r="F92" s="15" t="s">
        <v>21</v>
      </c>
      <c r="G92" s="15" t="s">
        <v>21</v>
      </c>
      <c r="H92" s="17" t="s">
        <v>183</v>
      </c>
      <c r="I92" s="15" t="s">
        <v>21</v>
      </c>
      <c r="J92" s="15" t="s">
        <v>22</v>
      </c>
      <c r="K92" s="15" t="s">
        <v>21</v>
      </c>
      <c r="L92" s="16">
        <v>24672.9</v>
      </c>
      <c r="M92" s="15" t="s">
        <v>21</v>
      </c>
      <c r="N92" s="16">
        <v>1.0</v>
      </c>
      <c r="O92" s="16">
        <v>0.0</v>
      </c>
      <c r="P92" s="16">
        <v>24650.0</v>
      </c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>
      <c r="A93" s="14" t="s">
        <v>184</v>
      </c>
      <c r="B93" s="15" t="s">
        <v>35</v>
      </c>
      <c r="C93" s="16">
        <v>10.0</v>
      </c>
      <c r="D93" s="17" t="s">
        <v>185</v>
      </c>
      <c r="E93" s="17" t="s">
        <v>186</v>
      </c>
      <c r="F93" s="15" t="s">
        <v>21</v>
      </c>
      <c r="G93" s="15" t="s">
        <v>21</v>
      </c>
      <c r="H93" s="17" t="s">
        <v>183</v>
      </c>
      <c r="I93" s="15" t="s">
        <v>21</v>
      </c>
      <c r="J93" s="15" t="s">
        <v>22</v>
      </c>
      <c r="K93" s="15" t="s">
        <v>21</v>
      </c>
      <c r="L93" s="16">
        <v>24676.8</v>
      </c>
      <c r="M93" s="15" t="s">
        <v>21</v>
      </c>
      <c r="N93" s="16">
        <v>1.0</v>
      </c>
      <c r="O93" s="16">
        <v>0.0</v>
      </c>
      <c r="P93" s="16">
        <v>24700.0</v>
      </c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>
      <c r="A94" s="14" t="s">
        <v>187</v>
      </c>
      <c r="B94" s="15" t="s">
        <v>35</v>
      </c>
      <c r="C94" s="16">
        <v>25.0</v>
      </c>
      <c r="D94" s="17" t="s">
        <v>188</v>
      </c>
      <c r="E94" s="17" t="s">
        <v>189</v>
      </c>
      <c r="F94" s="15" t="s">
        <v>21</v>
      </c>
      <c r="G94" s="15" t="s">
        <v>21</v>
      </c>
      <c r="H94" s="17" t="s">
        <v>190</v>
      </c>
      <c r="I94" s="15" t="s">
        <v>21</v>
      </c>
      <c r="J94" s="15" t="s">
        <v>22</v>
      </c>
      <c r="K94" s="15" t="s">
        <v>21</v>
      </c>
      <c r="L94" s="16">
        <v>24680.4</v>
      </c>
      <c r="M94" s="15" t="s">
        <v>21</v>
      </c>
      <c r="N94" s="16">
        <v>1.0</v>
      </c>
      <c r="O94" s="16">
        <v>0.0</v>
      </c>
      <c r="P94" s="16">
        <v>24700.0</v>
      </c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>
      <c r="A95" s="14" t="s">
        <v>191</v>
      </c>
      <c r="B95" s="15" t="s">
        <v>35</v>
      </c>
      <c r="C95" s="16">
        <v>20.0</v>
      </c>
      <c r="D95" s="17" t="s">
        <v>192</v>
      </c>
      <c r="E95" s="17" t="s">
        <v>193</v>
      </c>
      <c r="F95" s="15" t="s">
        <v>21</v>
      </c>
      <c r="G95" s="15" t="s">
        <v>21</v>
      </c>
      <c r="H95" s="17" t="s">
        <v>194</v>
      </c>
      <c r="I95" s="15" t="s">
        <v>21</v>
      </c>
      <c r="J95" s="15" t="s">
        <v>22</v>
      </c>
      <c r="K95" s="15" t="s">
        <v>21</v>
      </c>
      <c r="L95" s="16">
        <v>24670.5</v>
      </c>
      <c r="M95" s="15" t="s">
        <v>21</v>
      </c>
      <c r="N95" s="16">
        <v>1.0</v>
      </c>
      <c r="O95" s="16">
        <v>0.0</v>
      </c>
      <c r="P95" s="16">
        <v>24650.0</v>
      </c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>
      <c r="A96" s="14" t="s">
        <v>195</v>
      </c>
      <c r="B96" s="15" t="s">
        <v>35</v>
      </c>
      <c r="C96" s="16">
        <v>20.0</v>
      </c>
      <c r="D96" s="17" t="s">
        <v>196</v>
      </c>
      <c r="E96" s="17" t="s">
        <v>197</v>
      </c>
      <c r="F96" s="15" t="s">
        <v>21</v>
      </c>
      <c r="G96" s="15" t="s">
        <v>21</v>
      </c>
      <c r="H96" s="17" t="s">
        <v>183</v>
      </c>
      <c r="I96" s="15" t="s">
        <v>21</v>
      </c>
      <c r="J96" s="15" t="s">
        <v>22</v>
      </c>
      <c r="K96" s="15" t="s">
        <v>21</v>
      </c>
      <c r="L96" s="16">
        <v>24670.4</v>
      </c>
      <c r="M96" s="15" t="s">
        <v>21</v>
      </c>
      <c r="N96" s="16">
        <v>1.0</v>
      </c>
      <c r="O96" s="16">
        <v>0.0</v>
      </c>
      <c r="P96" s="16">
        <v>24650.0</v>
      </c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>
      <c r="A97" s="14" t="s">
        <v>198</v>
      </c>
      <c r="B97" s="15" t="s">
        <v>35</v>
      </c>
      <c r="C97" s="16">
        <v>20.0</v>
      </c>
      <c r="D97" s="17" t="s">
        <v>199</v>
      </c>
      <c r="E97" s="17" t="s">
        <v>200</v>
      </c>
      <c r="F97" s="15" t="s">
        <v>21</v>
      </c>
      <c r="G97" s="15" t="s">
        <v>21</v>
      </c>
      <c r="H97" s="17" t="s">
        <v>201</v>
      </c>
      <c r="I97" s="15" t="s">
        <v>21</v>
      </c>
      <c r="J97" s="15" t="s">
        <v>22</v>
      </c>
      <c r="K97" s="15" t="s">
        <v>21</v>
      </c>
      <c r="L97" s="16">
        <v>24674.5</v>
      </c>
      <c r="M97" s="15" t="s">
        <v>21</v>
      </c>
      <c r="N97" s="16">
        <v>1.0</v>
      </c>
      <c r="O97" s="16">
        <v>0.0</v>
      </c>
      <c r="P97" s="16">
        <v>24650.0</v>
      </c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>
      <c r="A98" s="14" t="s">
        <v>202</v>
      </c>
      <c r="B98" s="15" t="s">
        <v>35</v>
      </c>
      <c r="C98" s="16">
        <v>20.0</v>
      </c>
      <c r="D98" s="17" t="s">
        <v>203</v>
      </c>
      <c r="E98" s="17" t="s">
        <v>204</v>
      </c>
      <c r="F98" s="15" t="s">
        <v>21</v>
      </c>
      <c r="G98" s="15" t="s">
        <v>21</v>
      </c>
      <c r="H98" s="17" t="s">
        <v>205</v>
      </c>
      <c r="I98" s="15" t="s">
        <v>21</v>
      </c>
      <c r="J98" s="15" t="s">
        <v>22</v>
      </c>
      <c r="K98" s="15" t="s">
        <v>21</v>
      </c>
      <c r="L98" s="16">
        <v>24678.6</v>
      </c>
      <c r="M98" s="15" t="s">
        <v>21</v>
      </c>
      <c r="N98" s="16">
        <v>1.0</v>
      </c>
      <c r="O98" s="16">
        <v>0.0</v>
      </c>
      <c r="P98" s="16">
        <v>24700.0</v>
      </c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>
      <c r="A99" s="14" t="s">
        <v>206</v>
      </c>
      <c r="B99" s="15" t="s">
        <v>35</v>
      </c>
      <c r="C99" s="16">
        <v>15.0</v>
      </c>
      <c r="D99" s="17" t="s">
        <v>207</v>
      </c>
      <c r="E99" s="17" t="s">
        <v>208</v>
      </c>
      <c r="F99" s="15" t="s">
        <v>21</v>
      </c>
      <c r="G99" s="15" t="s">
        <v>21</v>
      </c>
      <c r="H99" s="17" t="s">
        <v>205</v>
      </c>
      <c r="I99" s="15" t="s">
        <v>21</v>
      </c>
      <c r="J99" s="15" t="s">
        <v>22</v>
      </c>
      <c r="K99" s="15" t="s">
        <v>21</v>
      </c>
      <c r="L99" s="16">
        <v>24678.8</v>
      </c>
      <c r="M99" s="15" t="s">
        <v>21</v>
      </c>
      <c r="N99" s="16">
        <v>1.0</v>
      </c>
      <c r="O99" s="16">
        <v>0.0</v>
      </c>
      <c r="P99" s="16">
        <v>24700.0</v>
      </c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>
      <c r="A100" s="14" t="s">
        <v>209</v>
      </c>
      <c r="B100" s="15" t="s">
        <v>35</v>
      </c>
      <c r="C100" s="16">
        <v>15.0</v>
      </c>
      <c r="D100" s="17" t="s">
        <v>210</v>
      </c>
      <c r="E100" s="17" t="s">
        <v>211</v>
      </c>
      <c r="F100" s="15" t="s">
        <v>21</v>
      </c>
      <c r="G100" s="15" t="s">
        <v>21</v>
      </c>
      <c r="H100" s="17" t="s">
        <v>205</v>
      </c>
      <c r="I100" s="15" t="s">
        <v>21</v>
      </c>
      <c r="J100" s="15" t="s">
        <v>22</v>
      </c>
      <c r="K100" s="15" t="s">
        <v>21</v>
      </c>
      <c r="L100" s="16">
        <v>24694.85</v>
      </c>
      <c r="M100" s="15" t="s">
        <v>21</v>
      </c>
      <c r="N100" s="16">
        <v>1.0</v>
      </c>
      <c r="O100" s="16">
        <v>0.0</v>
      </c>
      <c r="P100" s="16">
        <v>24700.0</v>
      </c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>
      <c r="A101" s="14" t="s">
        <v>212</v>
      </c>
      <c r="B101" s="15" t="s">
        <v>35</v>
      </c>
      <c r="C101" s="16">
        <v>25.0</v>
      </c>
      <c r="D101" s="17" t="s">
        <v>213</v>
      </c>
      <c r="E101" s="17" t="s">
        <v>214</v>
      </c>
      <c r="F101" s="15" t="s">
        <v>21</v>
      </c>
      <c r="G101" s="15" t="s">
        <v>21</v>
      </c>
      <c r="H101" s="17" t="s">
        <v>215</v>
      </c>
      <c r="I101" s="15" t="s">
        <v>21</v>
      </c>
      <c r="J101" s="15" t="s">
        <v>22</v>
      </c>
      <c r="K101" s="15" t="s">
        <v>21</v>
      </c>
      <c r="L101" s="16">
        <v>24693.4</v>
      </c>
      <c r="M101" s="15" t="s">
        <v>21</v>
      </c>
      <c r="N101" s="16">
        <v>1.0</v>
      </c>
      <c r="O101" s="16">
        <v>0.0</v>
      </c>
      <c r="P101" s="16">
        <v>24700.0</v>
      </c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>
      <c r="A102" s="14" t="s">
        <v>216</v>
      </c>
      <c r="B102" s="15" t="s">
        <v>35</v>
      </c>
      <c r="C102" s="16">
        <v>35.0</v>
      </c>
      <c r="D102" s="17" t="s">
        <v>217</v>
      </c>
      <c r="E102" s="17" t="s">
        <v>218</v>
      </c>
      <c r="F102" s="15" t="s">
        <v>21</v>
      </c>
      <c r="G102" s="15" t="s">
        <v>21</v>
      </c>
      <c r="H102" s="17" t="s">
        <v>219</v>
      </c>
      <c r="I102" s="15" t="s">
        <v>21</v>
      </c>
      <c r="J102" s="15" t="s">
        <v>22</v>
      </c>
      <c r="K102" s="15" t="s">
        <v>21</v>
      </c>
      <c r="L102" s="16">
        <v>24713.85</v>
      </c>
      <c r="M102" s="15" t="s">
        <v>21</v>
      </c>
      <c r="N102" s="16">
        <v>1.0</v>
      </c>
      <c r="O102" s="16">
        <v>0.0</v>
      </c>
      <c r="P102" s="16">
        <v>24700.0</v>
      </c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>
      <c r="A103" s="14" t="s">
        <v>220</v>
      </c>
      <c r="B103" s="15" t="s">
        <v>35</v>
      </c>
      <c r="C103" s="16">
        <v>20.0</v>
      </c>
      <c r="D103" s="17" t="s">
        <v>221</v>
      </c>
      <c r="E103" s="17" t="s">
        <v>222</v>
      </c>
      <c r="F103" s="15" t="s">
        <v>21</v>
      </c>
      <c r="G103" s="15" t="s">
        <v>21</v>
      </c>
      <c r="H103" s="17" t="s">
        <v>223</v>
      </c>
      <c r="I103" s="15" t="s">
        <v>21</v>
      </c>
      <c r="J103" s="15" t="s">
        <v>22</v>
      </c>
      <c r="K103" s="15" t="s">
        <v>21</v>
      </c>
      <c r="L103" s="16">
        <v>24692.25</v>
      </c>
      <c r="M103" s="15" t="s">
        <v>21</v>
      </c>
      <c r="N103" s="16">
        <v>1.0</v>
      </c>
      <c r="O103" s="16">
        <v>0.0</v>
      </c>
      <c r="P103" s="16">
        <v>24700.0</v>
      </c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>
      <c r="A104" s="14" t="s">
        <v>224</v>
      </c>
      <c r="B104" s="15" t="s">
        <v>35</v>
      </c>
      <c r="C104" s="16">
        <v>25.0</v>
      </c>
      <c r="D104" s="17" t="s">
        <v>225</v>
      </c>
      <c r="E104" s="17" t="s">
        <v>226</v>
      </c>
      <c r="F104" s="15" t="s">
        <v>21</v>
      </c>
      <c r="G104" s="15" t="s">
        <v>21</v>
      </c>
      <c r="H104" s="17" t="s">
        <v>219</v>
      </c>
      <c r="I104" s="15" t="s">
        <v>21</v>
      </c>
      <c r="J104" s="15" t="s">
        <v>22</v>
      </c>
      <c r="K104" s="15" t="s">
        <v>21</v>
      </c>
      <c r="L104" s="16">
        <v>24691.65</v>
      </c>
      <c r="M104" s="15" t="s">
        <v>21</v>
      </c>
      <c r="N104" s="16">
        <v>1.0</v>
      </c>
      <c r="O104" s="16">
        <v>0.0</v>
      </c>
      <c r="P104" s="16">
        <v>24700.0</v>
      </c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>
      <c r="A105" s="14" t="s">
        <v>227</v>
      </c>
      <c r="B105" s="15" t="s">
        <v>35</v>
      </c>
      <c r="C105" s="16">
        <v>15.0</v>
      </c>
      <c r="D105" s="17" t="s">
        <v>228</v>
      </c>
      <c r="E105" s="17" t="s">
        <v>229</v>
      </c>
      <c r="F105" s="15" t="s">
        <v>21</v>
      </c>
      <c r="G105" s="15" t="s">
        <v>21</v>
      </c>
      <c r="H105" s="17" t="s">
        <v>219</v>
      </c>
      <c r="I105" s="15" t="s">
        <v>21</v>
      </c>
      <c r="J105" s="15" t="s">
        <v>22</v>
      </c>
      <c r="K105" s="15" t="s">
        <v>21</v>
      </c>
      <c r="L105" s="16">
        <v>24694.15</v>
      </c>
      <c r="M105" s="15" t="s">
        <v>21</v>
      </c>
      <c r="N105" s="16">
        <v>1.0</v>
      </c>
      <c r="O105" s="16">
        <v>0.0</v>
      </c>
      <c r="P105" s="16">
        <v>24700.0</v>
      </c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>
      <c r="A106" s="14" t="s">
        <v>230</v>
      </c>
      <c r="B106" s="15" t="s">
        <v>35</v>
      </c>
      <c r="C106" s="16">
        <v>20.0</v>
      </c>
      <c r="D106" s="17" t="s">
        <v>231</v>
      </c>
      <c r="E106" s="17" t="s">
        <v>232</v>
      </c>
      <c r="F106" s="15" t="s">
        <v>21</v>
      </c>
      <c r="G106" s="15" t="s">
        <v>21</v>
      </c>
      <c r="H106" s="17" t="s">
        <v>215</v>
      </c>
      <c r="I106" s="15" t="s">
        <v>21</v>
      </c>
      <c r="J106" s="15" t="s">
        <v>22</v>
      </c>
      <c r="K106" s="15" t="s">
        <v>21</v>
      </c>
      <c r="L106" s="16">
        <v>24705.35</v>
      </c>
      <c r="M106" s="15" t="s">
        <v>21</v>
      </c>
      <c r="N106" s="16">
        <v>1.0</v>
      </c>
      <c r="O106" s="16">
        <v>0.0</v>
      </c>
      <c r="P106" s="16">
        <v>24700.0</v>
      </c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>
      <c r="A107" s="14" t="s">
        <v>233</v>
      </c>
      <c r="B107" s="15" t="s">
        <v>35</v>
      </c>
      <c r="C107" s="16">
        <v>30.0</v>
      </c>
      <c r="D107" s="17" t="s">
        <v>234</v>
      </c>
      <c r="E107" s="17" t="s">
        <v>235</v>
      </c>
      <c r="F107" s="15" t="s">
        <v>21</v>
      </c>
      <c r="G107" s="15" t="s">
        <v>21</v>
      </c>
      <c r="H107" s="17" t="s">
        <v>236</v>
      </c>
      <c r="I107" s="15" t="s">
        <v>21</v>
      </c>
      <c r="J107" s="15" t="s">
        <v>22</v>
      </c>
      <c r="K107" s="15" t="s">
        <v>21</v>
      </c>
      <c r="L107" s="16">
        <v>24716.55</v>
      </c>
      <c r="M107" s="15" t="s">
        <v>21</v>
      </c>
      <c r="N107" s="16">
        <v>1.0</v>
      </c>
      <c r="O107" s="16">
        <v>0.0</v>
      </c>
      <c r="P107" s="16">
        <v>24700.0</v>
      </c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>
      <c r="A108" s="14" t="s">
        <v>237</v>
      </c>
      <c r="B108" s="15" t="s">
        <v>35</v>
      </c>
      <c r="C108" s="16">
        <v>25.0</v>
      </c>
      <c r="D108" s="17" t="s">
        <v>238</v>
      </c>
      <c r="E108" s="17" t="s">
        <v>239</v>
      </c>
      <c r="F108" s="15" t="s">
        <v>21</v>
      </c>
      <c r="G108" s="15" t="s">
        <v>21</v>
      </c>
      <c r="H108" s="17" t="s">
        <v>215</v>
      </c>
      <c r="I108" s="15" t="s">
        <v>21</v>
      </c>
      <c r="J108" s="15" t="s">
        <v>22</v>
      </c>
      <c r="K108" s="15" t="s">
        <v>21</v>
      </c>
      <c r="L108" s="16">
        <v>24711.3</v>
      </c>
      <c r="M108" s="15" t="s">
        <v>21</v>
      </c>
      <c r="N108" s="16">
        <v>1.0</v>
      </c>
      <c r="O108" s="16">
        <v>0.0</v>
      </c>
      <c r="P108" s="16">
        <v>24700.0</v>
      </c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>
      <c r="A109" s="14" t="s">
        <v>240</v>
      </c>
      <c r="B109" s="15" t="s">
        <v>35</v>
      </c>
      <c r="C109" s="16">
        <v>20.0</v>
      </c>
      <c r="D109" s="17" t="s">
        <v>241</v>
      </c>
      <c r="E109" s="17" t="s">
        <v>242</v>
      </c>
      <c r="F109" s="15" t="s">
        <v>21</v>
      </c>
      <c r="G109" s="15" t="s">
        <v>21</v>
      </c>
      <c r="H109" s="17" t="s">
        <v>243</v>
      </c>
      <c r="I109" s="15" t="s">
        <v>21</v>
      </c>
      <c r="J109" s="15" t="s">
        <v>22</v>
      </c>
      <c r="K109" s="15" t="s">
        <v>21</v>
      </c>
      <c r="L109" s="16">
        <v>24643.35</v>
      </c>
      <c r="M109" s="15" t="s">
        <v>21</v>
      </c>
      <c r="N109" s="16">
        <v>1.0</v>
      </c>
      <c r="O109" s="16">
        <v>0.0</v>
      </c>
      <c r="P109" s="16">
        <v>24650.0</v>
      </c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>
      <c r="A110" s="14" t="s">
        <v>244</v>
      </c>
      <c r="B110" s="15" t="s">
        <v>17</v>
      </c>
      <c r="C110" s="16">
        <v>-5.0</v>
      </c>
      <c r="D110" s="17" t="s">
        <v>245</v>
      </c>
      <c r="E110" s="17" t="s">
        <v>246</v>
      </c>
      <c r="F110" s="15" t="s">
        <v>21</v>
      </c>
      <c r="G110" s="15" t="s">
        <v>21</v>
      </c>
      <c r="H110" s="17" t="s">
        <v>247</v>
      </c>
      <c r="I110" s="15" t="s">
        <v>21</v>
      </c>
      <c r="J110" s="15" t="s">
        <v>22</v>
      </c>
      <c r="K110" s="15" t="s">
        <v>21</v>
      </c>
      <c r="L110" s="16">
        <v>24625.55</v>
      </c>
      <c r="M110" s="15" t="s">
        <v>21</v>
      </c>
      <c r="N110" s="16">
        <v>1.0</v>
      </c>
      <c r="O110" s="16">
        <v>0.0</v>
      </c>
      <c r="P110" s="16">
        <v>24650.0</v>
      </c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>
      <c r="A111" s="14" t="s">
        <v>248</v>
      </c>
      <c r="B111" s="15" t="s">
        <v>33</v>
      </c>
      <c r="C111" s="16">
        <v>-5.0</v>
      </c>
      <c r="D111" s="17" t="s">
        <v>249</v>
      </c>
      <c r="E111" s="17" t="s">
        <v>250</v>
      </c>
      <c r="F111" s="15" t="s">
        <v>21</v>
      </c>
      <c r="G111" s="15" t="s">
        <v>21</v>
      </c>
      <c r="H111" s="17" t="s">
        <v>247</v>
      </c>
      <c r="I111" s="15" t="s">
        <v>21</v>
      </c>
      <c r="J111" s="15" t="s">
        <v>22</v>
      </c>
      <c r="K111" s="15" t="s">
        <v>21</v>
      </c>
      <c r="L111" s="16">
        <v>24622.6</v>
      </c>
      <c r="M111" s="15" t="s">
        <v>21</v>
      </c>
      <c r="N111" s="16">
        <v>1.0</v>
      </c>
      <c r="O111" s="16">
        <v>0.0</v>
      </c>
      <c r="P111" s="16">
        <v>24600.0</v>
      </c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>
      <c r="A112" s="14" t="s">
        <v>248</v>
      </c>
      <c r="B112" s="15" t="s">
        <v>33</v>
      </c>
      <c r="C112" s="16">
        <v>-5.0</v>
      </c>
      <c r="D112" s="17" t="s">
        <v>249</v>
      </c>
      <c r="E112" s="17" t="s">
        <v>250</v>
      </c>
      <c r="F112" s="15" t="s">
        <v>21</v>
      </c>
      <c r="G112" s="15" t="s">
        <v>21</v>
      </c>
      <c r="H112" s="17" t="s">
        <v>247</v>
      </c>
      <c r="I112" s="15" t="s">
        <v>21</v>
      </c>
      <c r="J112" s="15" t="s">
        <v>22</v>
      </c>
      <c r="K112" s="15" t="s">
        <v>21</v>
      </c>
      <c r="L112" s="16">
        <v>24622.6</v>
      </c>
      <c r="M112" s="15" t="s">
        <v>21</v>
      </c>
      <c r="N112" s="16">
        <v>1.0</v>
      </c>
      <c r="O112" s="16">
        <v>0.0</v>
      </c>
      <c r="P112" s="16">
        <v>24600.0</v>
      </c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>
      <c r="A113" s="14" t="s">
        <v>251</v>
      </c>
      <c r="B113" s="15" t="s">
        <v>33</v>
      </c>
      <c r="C113" s="16">
        <v>-5.0</v>
      </c>
      <c r="D113" s="17" t="s">
        <v>252</v>
      </c>
      <c r="E113" s="17" t="s">
        <v>253</v>
      </c>
      <c r="F113" s="15" t="s">
        <v>21</v>
      </c>
      <c r="G113" s="15" t="s">
        <v>21</v>
      </c>
      <c r="H113" s="17" t="s">
        <v>254</v>
      </c>
      <c r="I113" s="15" t="s">
        <v>21</v>
      </c>
      <c r="J113" s="15" t="s">
        <v>22</v>
      </c>
      <c r="K113" s="15" t="s">
        <v>21</v>
      </c>
      <c r="L113" s="16">
        <v>24630.95</v>
      </c>
      <c r="M113" s="15" t="s">
        <v>21</v>
      </c>
      <c r="N113" s="16">
        <v>1.0</v>
      </c>
      <c r="O113" s="16">
        <v>0.0</v>
      </c>
      <c r="P113" s="16">
        <v>24650.0</v>
      </c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>
      <c r="A114" s="14" t="s">
        <v>255</v>
      </c>
      <c r="B114" s="15" t="s">
        <v>35</v>
      </c>
      <c r="C114" s="16">
        <v>45.0</v>
      </c>
      <c r="D114" s="17" t="s">
        <v>256</v>
      </c>
      <c r="E114" s="17" t="s">
        <v>257</v>
      </c>
      <c r="F114" s="15" t="s">
        <v>21</v>
      </c>
      <c r="G114" s="15" t="s">
        <v>21</v>
      </c>
      <c r="H114" s="17" t="s">
        <v>258</v>
      </c>
      <c r="I114" s="15" t="s">
        <v>21</v>
      </c>
      <c r="J114" s="15" t="s">
        <v>22</v>
      </c>
      <c r="K114" s="15" t="s">
        <v>21</v>
      </c>
      <c r="L114" s="16">
        <v>24663.3</v>
      </c>
      <c r="M114" s="15" t="s">
        <v>21</v>
      </c>
      <c r="N114" s="16">
        <v>1.0</v>
      </c>
      <c r="O114" s="16">
        <v>0.0</v>
      </c>
      <c r="P114" s="16">
        <v>24650.0</v>
      </c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>
      <c r="A115" s="14" t="s">
        <v>259</v>
      </c>
      <c r="B115" s="15" t="s">
        <v>35</v>
      </c>
      <c r="C115" s="16">
        <v>45.0</v>
      </c>
      <c r="D115" s="17" t="s">
        <v>260</v>
      </c>
      <c r="E115" s="17" t="s">
        <v>261</v>
      </c>
      <c r="F115" s="15" t="s">
        <v>21</v>
      </c>
      <c r="G115" s="15" t="s">
        <v>21</v>
      </c>
      <c r="H115" s="17" t="s">
        <v>262</v>
      </c>
      <c r="I115" s="15" t="s">
        <v>21</v>
      </c>
      <c r="J115" s="15" t="s">
        <v>22</v>
      </c>
      <c r="K115" s="15" t="s">
        <v>21</v>
      </c>
      <c r="L115" s="16">
        <v>24661.05</v>
      </c>
      <c r="M115" s="15" t="s">
        <v>21</v>
      </c>
      <c r="N115" s="16">
        <v>1.0</v>
      </c>
      <c r="O115" s="16">
        <v>0.0</v>
      </c>
      <c r="P115" s="16">
        <v>24650.0</v>
      </c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>
      <c r="A116" s="14" t="s">
        <v>263</v>
      </c>
      <c r="B116" s="15" t="s">
        <v>35</v>
      </c>
      <c r="C116" s="16">
        <v>15.0</v>
      </c>
      <c r="D116" s="17" t="s">
        <v>264</v>
      </c>
      <c r="E116" s="17" t="s">
        <v>265</v>
      </c>
      <c r="F116" s="15" t="s">
        <v>21</v>
      </c>
      <c r="G116" s="15" t="s">
        <v>21</v>
      </c>
      <c r="H116" s="17" t="s">
        <v>258</v>
      </c>
      <c r="I116" s="15" t="s">
        <v>21</v>
      </c>
      <c r="J116" s="15" t="s">
        <v>22</v>
      </c>
      <c r="K116" s="15" t="s">
        <v>21</v>
      </c>
      <c r="L116" s="16">
        <v>24653.9</v>
      </c>
      <c r="M116" s="15" t="s">
        <v>21</v>
      </c>
      <c r="N116" s="16">
        <v>1.0</v>
      </c>
      <c r="O116" s="16">
        <v>0.0</v>
      </c>
      <c r="P116" s="16">
        <v>24650.0</v>
      </c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>
      <c r="A117" s="14" t="s">
        <v>266</v>
      </c>
      <c r="B117" s="15" t="s">
        <v>35</v>
      </c>
      <c r="C117" s="16">
        <v>35.0</v>
      </c>
      <c r="D117" s="17" t="s">
        <v>267</v>
      </c>
      <c r="E117" s="17" t="s">
        <v>268</v>
      </c>
      <c r="F117" s="15" t="s">
        <v>21</v>
      </c>
      <c r="G117" s="15" t="s">
        <v>21</v>
      </c>
      <c r="H117" s="17" t="s">
        <v>269</v>
      </c>
      <c r="I117" s="15" t="s">
        <v>21</v>
      </c>
      <c r="J117" s="15" t="s">
        <v>22</v>
      </c>
      <c r="K117" s="15" t="s">
        <v>21</v>
      </c>
      <c r="L117" s="16">
        <v>24660.8</v>
      </c>
      <c r="M117" s="15" t="s">
        <v>21</v>
      </c>
      <c r="N117" s="16">
        <v>1.0</v>
      </c>
      <c r="O117" s="16">
        <v>0.0</v>
      </c>
      <c r="P117" s="16">
        <v>24650.0</v>
      </c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>
      <c r="A118" s="14" t="s">
        <v>270</v>
      </c>
      <c r="B118" s="15" t="s">
        <v>35</v>
      </c>
      <c r="C118" s="16">
        <v>25.0</v>
      </c>
      <c r="D118" s="17" t="s">
        <v>271</v>
      </c>
      <c r="E118" s="17" t="s">
        <v>272</v>
      </c>
      <c r="F118" s="15" t="s">
        <v>21</v>
      </c>
      <c r="G118" s="15" t="s">
        <v>21</v>
      </c>
      <c r="H118" s="17" t="s">
        <v>258</v>
      </c>
      <c r="I118" s="15" t="s">
        <v>21</v>
      </c>
      <c r="J118" s="15" t="s">
        <v>22</v>
      </c>
      <c r="K118" s="15" t="s">
        <v>21</v>
      </c>
      <c r="L118" s="16">
        <v>24660.9</v>
      </c>
      <c r="M118" s="15" t="s">
        <v>21</v>
      </c>
      <c r="N118" s="16">
        <v>1.0</v>
      </c>
      <c r="O118" s="16">
        <v>0.0</v>
      </c>
      <c r="P118" s="16">
        <v>24650.0</v>
      </c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>
      <c r="A119" s="14" t="s">
        <v>273</v>
      </c>
      <c r="B119" s="15" t="s">
        <v>35</v>
      </c>
      <c r="C119" s="16">
        <v>20.0</v>
      </c>
      <c r="D119" s="17" t="s">
        <v>274</v>
      </c>
      <c r="E119" s="17" t="s">
        <v>275</v>
      </c>
      <c r="F119" s="15" t="s">
        <v>21</v>
      </c>
      <c r="G119" s="15" t="s">
        <v>21</v>
      </c>
      <c r="H119" s="17" t="s">
        <v>258</v>
      </c>
      <c r="I119" s="15" t="s">
        <v>21</v>
      </c>
      <c r="J119" s="15" t="s">
        <v>22</v>
      </c>
      <c r="K119" s="15" t="s">
        <v>21</v>
      </c>
      <c r="L119" s="16">
        <v>24653.85</v>
      </c>
      <c r="M119" s="15" t="s">
        <v>21</v>
      </c>
      <c r="N119" s="16">
        <v>1.0</v>
      </c>
      <c r="O119" s="16">
        <v>0.0</v>
      </c>
      <c r="P119" s="16">
        <v>24650.0</v>
      </c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>
      <c r="A120" s="14" t="s">
        <v>276</v>
      </c>
      <c r="B120" s="15" t="s">
        <v>35</v>
      </c>
      <c r="C120" s="16">
        <v>25.0</v>
      </c>
      <c r="D120" s="17" t="s">
        <v>277</v>
      </c>
      <c r="E120" s="17" t="s">
        <v>278</v>
      </c>
      <c r="F120" s="15" t="s">
        <v>21</v>
      </c>
      <c r="G120" s="15" t="s">
        <v>21</v>
      </c>
      <c r="H120" s="17" t="s">
        <v>279</v>
      </c>
      <c r="I120" s="15" t="s">
        <v>21</v>
      </c>
      <c r="J120" s="15" t="s">
        <v>22</v>
      </c>
      <c r="K120" s="15" t="s">
        <v>21</v>
      </c>
      <c r="L120" s="16">
        <v>24650.4</v>
      </c>
      <c r="M120" s="15" t="s">
        <v>21</v>
      </c>
      <c r="N120" s="16">
        <v>1.0</v>
      </c>
      <c r="O120" s="16">
        <v>0.0</v>
      </c>
      <c r="P120" s="16">
        <v>24650.0</v>
      </c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>
      <c r="A121" s="14" t="s">
        <v>280</v>
      </c>
      <c r="B121" s="15" t="s">
        <v>35</v>
      </c>
      <c r="C121" s="16">
        <v>15.0</v>
      </c>
      <c r="D121" s="17" t="s">
        <v>281</v>
      </c>
      <c r="E121" s="17" t="s">
        <v>282</v>
      </c>
      <c r="F121" s="15" t="s">
        <v>21</v>
      </c>
      <c r="G121" s="15" t="s">
        <v>21</v>
      </c>
      <c r="H121" s="17" t="s">
        <v>283</v>
      </c>
      <c r="I121" s="15" t="s">
        <v>21</v>
      </c>
      <c r="J121" s="15" t="s">
        <v>22</v>
      </c>
      <c r="K121" s="15" t="s">
        <v>21</v>
      </c>
      <c r="L121" s="16">
        <v>24642.1</v>
      </c>
      <c r="M121" s="15" t="s">
        <v>21</v>
      </c>
      <c r="N121" s="16">
        <v>1.0</v>
      </c>
      <c r="O121" s="16">
        <v>0.0</v>
      </c>
      <c r="P121" s="16">
        <v>24650.0</v>
      </c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>
      <c r="A122" s="14" t="s">
        <v>284</v>
      </c>
      <c r="B122" s="15" t="s">
        <v>33</v>
      </c>
      <c r="C122" s="16">
        <v>-5.0</v>
      </c>
      <c r="D122" s="17" t="s">
        <v>285</v>
      </c>
      <c r="E122" s="17" t="s">
        <v>286</v>
      </c>
      <c r="F122" s="15" t="s">
        <v>21</v>
      </c>
      <c r="G122" s="15" t="s">
        <v>21</v>
      </c>
      <c r="H122" s="17" t="s">
        <v>269</v>
      </c>
      <c r="I122" s="15" t="s">
        <v>21</v>
      </c>
      <c r="J122" s="15" t="s">
        <v>22</v>
      </c>
      <c r="K122" s="15" t="s">
        <v>21</v>
      </c>
      <c r="L122" s="16">
        <v>24634.0</v>
      </c>
      <c r="M122" s="15" t="s">
        <v>21</v>
      </c>
      <c r="N122" s="16">
        <v>1.0</v>
      </c>
      <c r="O122" s="16">
        <v>0.0</v>
      </c>
      <c r="P122" s="16">
        <v>24650.0</v>
      </c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>
      <c r="A123" s="14" t="s">
        <v>287</v>
      </c>
      <c r="B123" s="15" t="s">
        <v>33</v>
      </c>
      <c r="C123" s="16">
        <v>-15.0</v>
      </c>
      <c r="D123" s="17" t="s">
        <v>288</v>
      </c>
      <c r="E123" s="17" t="s">
        <v>289</v>
      </c>
      <c r="F123" s="15" t="s">
        <v>21</v>
      </c>
      <c r="G123" s="15" t="s">
        <v>21</v>
      </c>
      <c r="H123" s="17" t="s">
        <v>269</v>
      </c>
      <c r="I123" s="15" t="s">
        <v>21</v>
      </c>
      <c r="J123" s="15" t="s">
        <v>22</v>
      </c>
      <c r="K123" s="15" t="s">
        <v>21</v>
      </c>
      <c r="L123" s="16">
        <v>24637.4</v>
      </c>
      <c r="M123" s="15" t="s">
        <v>21</v>
      </c>
      <c r="N123" s="16">
        <v>1.0</v>
      </c>
      <c r="O123" s="16">
        <v>0.0</v>
      </c>
      <c r="P123" s="16">
        <v>24650.0</v>
      </c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>
      <c r="A124" s="14" t="s">
        <v>290</v>
      </c>
      <c r="B124" s="15" t="s">
        <v>33</v>
      </c>
      <c r="C124" s="16">
        <v>-15.0</v>
      </c>
      <c r="D124" s="17" t="s">
        <v>291</v>
      </c>
      <c r="E124" s="17" t="s">
        <v>292</v>
      </c>
      <c r="F124" s="15" t="s">
        <v>21</v>
      </c>
      <c r="G124" s="15" t="s">
        <v>21</v>
      </c>
      <c r="H124" s="17" t="s">
        <v>293</v>
      </c>
      <c r="I124" s="15" t="s">
        <v>21</v>
      </c>
      <c r="J124" s="15" t="s">
        <v>22</v>
      </c>
      <c r="K124" s="15" t="s">
        <v>21</v>
      </c>
      <c r="L124" s="16">
        <v>24625.3</v>
      </c>
      <c r="M124" s="15" t="s">
        <v>21</v>
      </c>
      <c r="N124" s="16">
        <v>1.0</v>
      </c>
      <c r="O124" s="16">
        <v>0.0</v>
      </c>
      <c r="P124" s="16">
        <v>24650.0</v>
      </c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>
      <c r="A125" s="14" t="s">
        <v>294</v>
      </c>
      <c r="B125" s="15" t="s">
        <v>33</v>
      </c>
      <c r="C125" s="16">
        <v>-5.0</v>
      </c>
      <c r="D125" s="17" t="s">
        <v>295</v>
      </c>
      <c r="E125" s="17" t="s">
        <v>296</v>
      </c>
      <c r="F125" s="15" t="s">
        <v>21</v>
      </c>
      <c r="G125" s="15" t="s">
        <v>21</v>
      </c>
      <c r="H125" s="17" t="s">
        <v>293</v>
      </c>
      <c r="I125" s="15" t="s">
        <v>21</v>
      </c>
      <c r="J125" s="15" t="s">
        <v>22</v>
      </c>
      <c r="K125" s="15" t="s">
        <v>21</v>
      </c>
      <c r="L125" s="16">
        <v>24625.35</v>
      </c>
      <c r="M125" s="15" t="s">
        <v>21</v>
      </c>
      <c r="N125" s="16">
        <v>1.0</v>
      </c>
      <c r="O125" s="16">
        <v>0.0</v>
      </c>
      <c r="P125" s="16">
        <v>24650.0</v>
      </c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>
      <c r="A126" s="14" t="s">
        <v>297</v>
      </c>
      <c r="B126" s="15" t="s">
        <v>33</v>
      </c>
      <c r="C126" s="16">
        <v>-5.0</v>
      </c>
      <c r="D126" s="17" t="s">
        <v>298</v>
      </c>
      <c r="E126" s="17" t="s">
        <v>299</v>
      </c>
      <c r="F126" s="15" t="s">
        <v>21</v>
      </c>
      <c r="G126" s="15" t="s">
        <v>21</v>
      </c>
      <c r="H126" s="17" t="s">
        <v>262</v>
      </c>
      <c r="I126" s="15" t="s">
        <v>21</v>
      </c>
      <c r="J126" s="15" t="s">
        <v>22</v>
      </c>
      <c r="K126" s="15" t="s">
        <v>21</v>
      </c>
      <c r="L126" s="16">
        <v>24622.85</v>
      </c>
      <c r="M126" s="15" t="s">
        <v>21</v>
      </c>
      <c r="N126" s="16">
        <v>1.0</v>
      </c>
      <c r="O126" s="16">
        <v>0.0</v>
      </c>
      <c r="P126" s="16">
        <v>24600.0</v>
      </c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>
      <c r="A127" s="14" t="s">
        <v>300</v>
      </c>
      <c r="B127" s="15" t="s">
        <v>33</v>
      </c>
      <c r="C127" s="16">
        <v>-5.0</v>
      </c>
      <c r="D127" s="17" t="s">
        <v>301</v>
      </c>
      <c r="E127" s="17" t="s">
        <v>302</v>
      </c>
      <c r="F127" s="15" t="s">
        <v>21</v>
      </c>
      <c r="G127" s="15" t="s">
        <v>21</v>
      </c>
      <c r="H127" s="17" t="s">
        <v>303</v>
      </c>
      <c r="I127" s="15" t="s">
        <v>21</v>
      </c>
      <c r="J127" s="15" t="s">
        <v>22</v>
      </c>
      <c r="K127" s="15" t="s">
        <v>21</v>
      </c>
      <c r="L127" s="16">
        <v>24624.75</v>
      </c>
      <c r="M127" s="15" t="s">
        <v>21</v>
      </c>
      <c r="N127" s="16">
        <v>1.0</v>
      </c>
      <c r="O127" s="16">
        <v>0.0</v>
      </c>
      <c r="P127" s="16">
        <v>24600.0</v>
      </c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>
      <c r="A128" s="15" t="s">
        <v>304</v>
      </c>
      <c r="B128" s="15" t="s">
        <v>33</v>
      </c>
      <c r="C128" s="16">
        <v>-5.0</v>
      </c>
      <c r="D128" s="17" t="s">
        <v>305</v>
      </c>
      <c r="E128" s="17" t="s">
        <v>306</v>
      </c>
      <c r="F128" s="15" t="s">
        <v>21</v>
      </c>
      <c r="G128" s="15" t="s">
        <v>21</v>
      </c>
      <c r="H128" s="17" t="s">
        <v>307</v>
      </c>
      <c r="I128" s="15" t="s">
        <v>21</v>
      </c>
      <c r="J128" s="15" t="s">
        <v>22</v>
      </c>
      <c r="K128" s="15" t="s">
        <v>21</v>
      </c>
      <c r="L128" s="16">
        <v>24597.35</v>
      </c>
      <c r="M128" s="15" t="s">
        <v>21</v>
      </c>
      <c r="N128" s="16">
        <v>1.0</v>
      </c>
      <c r="O128" s="16">
        <v>0.0</v>
      </c>
      <c r="P128" s="16">
        <v>24600.0</v>
      </c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>
      <c r="A129" s="15" t="s">
        <v>308</v>
      </c>
      <c r="B129" s="15" t="s">
        <v>35</v>
      </c>
      <c r="C129" s="16">
        <v>15.0</v>
      </c>
      <c r="D129" s="17" t="s">
        <v>309</v>
      </c>
      <c r="E129" s="17" t="s">
        <v>310</v>
      </c>
      <c r="F129" s="15" t="s">
        <v>21</v>
      </c>
      <c r="G129" s="15" t="s">
        <v>21</v>
      </c>
      <c r="H129" s="17" t="s">
        <v>254</v>
      </c>
      <c r="I129" s="15" t="s">
        <v>21</v>
      </c>
      <c r="J129" s="15" t="s">
        <v>22</v>
      </c>
      <c r="K129" s="15" t="s">
        <v>21</v>
      </c>
      <c r="L129" s="16">
        <v>24604.75</v>
      </c>
      <c r="M129" s="15" t="s">
        <v>21</v>
      </c>
      <c r="N129" s="16">
        <v>1.0</v>
      </c>
      <c r="O129" s="16">
        <v>0.0</v>
      </c>
      <c r="P129" s="16">
        <v>24600.0</v>
      </c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>
      <c r="A130" s="15" t="s">
        <v>311</v>
      </c>
      <c r="B130" s="15" t="s">
        <v>35</v>
      </c>
      <c r="C130" s="16">
        <v>0.0</v>
      </c>
      <c r="D130" s="17" t="s">
        <v>312</v>
      </c>
      <c r="E130" s="17" t="s">
        <v>313</v>
      </c>
      <c r="F130" s="15" t="s">
        <v>21</v>
      </c>
      <c r="G130" s="15" t="s">
        <v>21</v>
      </c>
      <c r="H130" s="17" t="s">
        <v>314</v>
      </c>
      <c r="I130" s="15" t="s">
        <v>21</v>
      </c>
      <c r="J130" s="15" t="s">
        <v>22</v>
      </c>
      <c r="K130" s="15" t="s">
        <v>21</v>
      </c>
      <c r="L130" s="16">
        <v>24607.65</v>
      </c>
      <c r="M130" s="15" t="s">
        <v>21</v>
      </c>
      <c r="N130" s="16">
        <v>1.0</v>
      </c>
      <c r="O130" s="16">
        <v>0.0</v>
      </c>
      <c r="P130" s="16">
        <v>24600.0</v>
      </c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>
      <c r="A131" s="15" t="s">
        <v>315</v>
      </c>
      <c r="B131" s="15" t="s">
        <v>35</v>
      </c>
      <c r="C131" s="16">
        <v>10.0</v>
      </c>
      <c r="D131" s="17" t="s">
        <v>316</v>
      </c>
      <c r="E131" s="17" t="s">
        <v>317</v>
      </c>
      <c r="F131" s="15" t="s">
        <v>21</v>
      </c>
      <c r="G131" s="15" t="s">
        <v>21</v>
      </c>
      <c r="H131" s="17" t="s">
        <v>303</v>
      </c>
      <c r="I131" s="15" t="s">
        <v>21</v>
      </c>
      <c r="J131" s="15" t="s">
        <v>22</v>
      </c>
      <c r="K131" s="15" t="s">
        <v>21</v>
      </c>
      <c r="L131" s="16">
        <v>24618.25</v>
      </c>
      <c r="M131" s="15" t="s">
        <v>21</v>
      </c>
      <c r="N131" s="16">
        <v>1.0</v>
      </c>
      <c r="O131" s="16">
        <v>0.0</v>
      </c>
      <c r="P131" s="16">
        <v>24600.0</v>
      </c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>
      <c r="A132" s="15" t="s">
        <v>318</v>
      </c>
      <c r="B132" s="15" t="s">
        <v>35</v>
      </c>
      <c r="C132" s="16">
        <v>0.0</v>
      </c>
      <c r="D132" s="17" t="s">
        <v>319</v>
      </c>
      <c r="E132" s="17" t="s">
        <v>320</v>
      </c>
      <c r="F132" s="15" t="s">
        <v>21</v>
      </c>
      <c r="G132" s="15" t="s">
        <v>21</v>
      </c>
      <c r="H132" s="17" t="s">
        <v>258</v>
      </c>
      <c r="I132" s="15" t="s">
        <v>21</v>
      </c>
      <c r="J132" s="15" t="s">
        <v>22</v>
      </c>
      <c r="K132" s="15" t="s">
        <v>21</v>
      </c>
      <c r="L132" s="16">
        <v>24623.65</v>
      </c>
      <c r="M132" s="15" t="s">
        <v>21</v>
      </c>
      <c r="N132" s="16">
        <v>1.0</v>
      </c>
      <c r="O132" s="16">
        <v>0.0</v>
      </c>
      <c r="P132" s="16">
        <v>24600.0</v>
      </c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>
      <c r="A133" s="15" t="s">
        <v>321</v>
      </c>
      <c r="B133" s="15" t="s">
        <v>35</v>
      </c>
      <c r="C133" s="16">
        <v>0.0</v>
      </c>
      <c r="D133" s="17" t="s">
        <v>322</v>
      </c>
      <c r="E133" s="17" t="s">
        <v>323</v>
      </c>
      <c r="F133" s="15" t="s">
        <v>21</v>
      </c>
      <c r="G133" s="15" t="s">
        <v>21</v>
      </c>
      <c r="H133" s="17" t="s">
        <v>258</v>
      </c>
      <c r="I133" s="15" t="s">
        <v>21</v>
      </c>
      <c r="J133" s="15" t="s">
        <v>22</v>
      </c>
      <c r="K133" s="15" t="s">
        <v>21</v>
      </c>
      <c r="L133" s="16">
        <v>24624.7</v>
      </c>
      <c r="M133" s="15" t="s">
        <v>21</v>
      </c>
      <c r="N133" s="16">
        <v>1.0</v>
      </c>
      <c r="O133" s="16">
        <v>0.0</v>
      </c>
      <c r="P133" s="16">
        <v>24600.0</v>
      </c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>
      <c r="A134" s="15" t="s">
        <v>324</v>
      </c>
      <c r="B134" s="15" t="s">
        <v>35</v>
      </c>
      <c r="C134" s="16">
        <v>0.0</v>
      </c>
      <c r="D134" s="17" t="s">
        <v>325</v>
      </c>
      <c r="E134" s="17" t="s">
        <v>326</v>
      </c>
      <c r="F134" s="15" t="s">
        <v>21</v>
      </c>
      <c r="G134" s="15" t="s">
        <v>21</v>
      </c>
      <c r="H134" s="17" t="s">
        <v>327</v>
      </c>
      <c r="I134" s="15" t="s">
        <v>21</v>
      </c>
      <c r="J134" s="15" t="s">
        <v>22</v>
      </c>
      <c r="K134" s="15" t="s">
        <v>21</v>
      </c>
      <c r="L134" s="16">
        <v>24616.4</v>
      </c>
      <c r="M134" s="15" t="s">
        <v>21</v>
      </c>
      <c r="N134" s="16">
        <v>1.0</v>
      </c>
      <c r="O134" s="16">
        <v>0.0</v>
      </c>
      <c r="P134" s="16">
        <v>24600.0</v>
      </c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>
      <c r="A135" s="15" t="s">
        <v>328</v>
      </c>
      <c r="B135" s="15" t="s">
        <v>35</v>
      </c>
      <c r="C135" s="16">
        <v>15.0</v>
      </c>
      <c r="D135" s="17" t="s">
        <v>329</v>
      </c>
      <c r="E135" s="17" t="s">
        <v>330</v>
      </c>
      <c r="F135" s="15" t="s">
        <v>21</v>
      </c>
      <c r="G135" s="15" t="s">
        <v>21</v>
      </c>
      <c r="H135" s="17" t="s">
        <v>331</v>
      </c>
      <c r="I135" s="15" t="s">
        <v>21</v>
      </c>
      <c r="J135" s="15" t="s">
        <v>22</v>
      </c>
      <c r="K135" s="15" t="s">
        <v>21</v>
      </c>
      <c r="L135" s="16">
        <v>24597.3</v>
      </c>
      <c r="M135" s="15" t="s">
        <v>21</v>
      </c>
      <c r="N135" s="16">
        <v>1.0</v>
      </c>
      <c r="O135" s="16">
        <v>0.0</v>
      </c>
      <c r="P135" s="16">
        <v>24600.0</v>
      </c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>
      <c r="A136" s="15" t="s">
        <v>332</v>
      </c>
      <c r="B136" s="15" t="s">
        <v>35</v>
      </c>
      <c r="C136" s="16">
        <v>0.0</v>
      </c>
      <c r="D136" s="17" t="s">
        <v>333</v>
      </c>
      <c r="E136" s="17" t="s">
        <v>334</v>
      </c>
      <c r="F136" s="15" t="s">
        <v>21</v>
      </c>
      <c r="G136" s="15" t="s">
        <v>21</v>
      </c>
      <c r="H136" s="17" t="s">
        <v>327</v>
      </c>
      <c r="I136" s="15" t="s">
        <v>21</v>
      </c>
      <c r="J136" s="15" t="s">
        <v>22</v>
      </c>
      <c r="K136" s="15" t="s">
        <v>21</v>
      </c>
      <c r="L136" s="16">
        <v>24613.35</v>
      </c>
      <c r="M136" s="15" t="s">
        <v>21</v>
      </c>
      <c r="N136" s="16">
        <v>1.0</v>
      </c>
      <c r="O136" s="16">
        <v>0.0</v>
      </c>
      <c r="P136" s="16">
        <v>24600.0</v>
      </c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>
      <c r="A137" s="15" t="s">
        <v>335</v>
      </c>
      <c r="B137" s="15" t="s">
        <v>35</v>
      </c>
      <c r="C137" s="16">
        <v>0.0</v>
      </c>
      <c r="D137" s="17" t="s">
        <v>336</v>
      </c>
      <c r="E137" s="17" t="s">
        <v>337</v>
      </c>
      <c r="F137" s="15" t="s">
        <v>21</v>
      </c>
      <c r="G137" s="15" t="s">
        <v>21</v>
      </c>
      <c r="H137" s="17" t="s">
        <v>258</v>
      </c>
      <c r="I137" s="15" t="s">
        <v>21</v>
      </c>
      <c r="J137" s="15" t="s">
        <v>22</v>
      </c>
      <c r="K137" s="15" t="s">
        <v>21</v>
      </c>
      <c r="L137" s="16">
        <v>24619.55</v>
      </c>
      <c r="M137" s="15" t="s">
        <v>21</v>
      </c>
      <c r="N137" s="16">
        <v>1.0</v>
      </c>
      <c r="O137" s="16">
        <v>0.0</v>
      </c>
      <c r="P137" s="16">
        <v>24600.0</v>
      </c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>
      <c r="A138" s="15" t="s">
        <v>338</v>
      </c>
      <c r="B138" s="15" t="s">
        <v>35</v>
      </c>
      <c r="C138" s="16">
        <v>0.0</v>
      </c>
      <c r="D138" s="17" t="s">
        <v>339</v>
      </c>
      <c r="E138" s="17" t="s">
        <v>334</v>
      </c>
      <c r="F138" s="15" t="s">
        <v>21</v>
      </c>
      <c r="G138" s="15" t="s">
        <v>21</v>
      </c>
      <c r="H138" s="17" t="s">
        <v>327</v>
      </c>
      <c r="I138" s="15" t="s">
        <v>21</v>
      </c>
      <c r="J138" s="15" t="s">
        <v>22</v>
      </c>
      <c r="K138" s="15" t="s">
        <v>21</v>
      </c>
      <c r="L138" s="16">
        <v>24604.45</v>
      </c>
      <c r="M138" s="15" t="s">
        <v>21</v>
      </c>
      <c r="N138" s="16">
        <v>1.0</v>
      </c>
      <c r="O138" s="16">
        <v>0.0</v>
      </c>
      <c r="P138" s="16">
        <v>24600.0</v>
      </c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>
      <c r="A139" s="15" t="s">
        <v>340</v>
      </c>
      <c r="B139" s="15" t="s">
        <v>33</v>
      </c>
      <c r="C139" s="16">
        <v>-5.0</v>
      </c>
      <c r="D139" s="17" t="s">
        <v>341</v>
      </c>
      <c r="E139" s="17" t="s">
        <v>342</v>
      </c>
      <c r="F139" s="15" t="s">
        <v>21</v>
      </c>
      <c r="G139" s="15" t="s">
        <v>21</v>
      </c>
      <c r="H139" s="17" t="s">
        <v>269</v>
      </c>
      <c r="I139" s="15" t="s">
        <v>21</v>
      </c>
      <c r="J139" s="15" t="s">
        <v>22</v>
      </c>
      <c r="K139" s="15" t="s">
        <v>21</v>
      </c>
      <c r="L139" s="16">
        <v>24619.1</v>
      </c>
      <c r="M139" s="15" t="s">
        <v>21</v>
      </c>
      <c r="N139" s="16">
        <v>1.0</v>
      </c>
      <c r="O139" s="16">
        <v>0.0</v>
      </c>
      <c r="P139" s="16">
        <v>24600.0</v>
      </c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>
      <c r="A140" s="15" t="s">
        <v>343</v>
      </c>
      <c r="B140" s="15" t="s">
        <v>33</v>
      </c>
      <c r="C140" s="16">
        <v>-5.0</v>
      </c>
      <c r="D140" s="17" t="s">
        <v>344</v>
      </c>
      <c r="E140" s="17" t="s">
        <v>345</v>
      </c>
      <c r="F140" s="15" t="s">
        <v>21</v>
      </c>
      <c r="G140" s="15" t="s">
        <v>21</v>
      </c>
      <c r="H140" s="17" t="s">
        <v>293</v>
      </c>
      <c r="I140" s="15" t="s">
        <v>21</v>
      </c>
      <c r="J140" s="15" t="s">
        <v>22</v>
      </c>
      <c r="K140" s="15" t="s">
        <v>21</v>
      </c>
      <c r="L140" s="16">
        <v>24615.6</v>
      </c>
      <c r="M140" s="15" t="s">
        <v>21</v>
      </c>
      <c r="N140" s="16">
        <v>1.0</v>
      </c>
      <c r="O140" s="16">
        <v>0.0</v>
      </c>
      <c r="P140" s="16">
        <v>24600.0</v>
      </c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>
      <c r="A141" s="15" t="s">
        <v>346</v>
      </c>
      <c r="B141" s="15" t="s">
        <v>35</v>
      </c>
      <c r="C141" s="16">
        <v>30.0</v>
      </c>
      <c r="D141" s="17" t="s">
        <v>347</v>
      </c>
      <c r="E141" s="17" t="s">
        <v>348</v>
      </c>
      <c r="F141" s="15" t="s">
        <v>21</v>
      </c>
      <c r="G141" s="15" t="s">
        <v>21</v>
      </c>
      <c r="H141" s="17" t="s">
        <v>279</v>
      </c>
      <c r="I141" s="15" t="s">
        <v>21</v>
      </c>
      <c r="J141" s="15" t="s">
        <v>22</v>
      </c>
      <c r="K141" s="15" t="s">
        <v>21</v>
      </c>
      <c r="L141" s="16">
        <v>24627.6</v>
      </c>
      <c r="M141" s="15" t="s">
        <v>21</v>
      </c>
      <c r="N141" s="16">
        <v>1.0</v>
      </c>
      <c r="O141" s="16">
        <v>0.0</v>
      </c>
      <c r="P141" s="16">
        <v>24650.0</v>
      </c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>
      <c r="A142" s="15" t="s">
        <v>349</v>
      </c>
      <c r="B142" s="15" t="s">
        <v>35</v>
      </c>
      <c r="C142" s="16">
        <v>5.0</v>
      </c>
      <c r="D142" s="17" t="s">
        <v>350</v>
      </c>
      <c r="E142" s="17" t="s">
        <v>351</v>
      </c>
      <c r="F142" s="15" t="s">
        <v>21</v>
      </c>
      <c r="G142" s="15" t="s">
        <v>21</v>
      </c>
      <c r="H142" s="17" t="s">
        <v>352</v>
      </c>
      <c r="I142" s="15" t="s">
        <v>21</v>
      </c>
      <c r="J142" s="15" t="s">
        <v>22</v>
      </c>
      <c r="K142" s="15" t="s">
        <v>21</v>
      </c>
      <c r="L142" s="16">
        <v>24620.8</v>
      </c>
      <c r="M142" s="15" t="s">
        <v>21</v>
      </c>
      <c r="N142" s="16">
        <v>1.0</v>
      </c>
      <c r="O142" s="16">
        <v>0.0</v>
      </c>
      <c r="P142" s="16">
        <v>24600.0</v>
      </c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>
      <c r="A143" s="15" t="s">
        <v>353</v>
      </c>
      <c r="B143" s="15" t="s">
        <v>35</v>
      </c>
      <c r="C143" s="16">
        <v>0.0</v>
      </c>
      <c r="D143" s="17" t="s">
        <v>354</v>
      </c>
      <c r="E143" s="17" t="s">
        <v>355</v>
      </c>
      <c r="F143" s="15" t="s">
        <v>21</v>
      </c>
      <c r="G143" s="15" t="s">
        <v>21</v>
      </c>
      <c r="H143" s="17" t="s">
        <v>283</v>
      </c>
      <c r="I143" s="15" t="s">
        <v>21</v>
      </c>
      <c r="J143" s="15" t="s">
        <v>22</v>
      </c>
      <c r="K143" s="15" t="s">
        <v>21</v>
      </c>
      <c r="L143" s="16">
        <v>24607.85</v>
      </c>
      <c r="M143" s="15" t="s">
        <v>21</v>
      </c>
      <c r="N143" s="16">
        <v>1.0</v>
      </c>
      <c r="O143" s="16">
        <v>0.0</v>
      </c>
      <c r="P143" s="16">
        <v>24600.0</v>
      </c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>
      <c r="A144" s="15" t="s">
        <v>356</v>
      </c>
      <c r="B144" s="15" t="s">
        <v>35</v>
      </c>
      <c r="C144" s="16">
        <v>10.0</v>
      </c>
      <c r="D144" s="17" t="s">
        <v>357</v>
      </c>
      <c r="E144" s="17" t="s">
        <v>358</v>
      </c>
      <c r="F144" s="15" t="s">
        <v>21</v>
      </c>
      <c r="G144" s="15" t="s">
        <v>21</v>
      </c>
      <c r="H144" s="17" t="s">
        <v>283</v>
      </c>
      <c r="I144" s="15" t="s">
        <v>21</v>
      </c>
      <c r="J144" s="15" t="s">
        <v>22</v>
      </c>
      <c r="K144" s="15" t="s">
        <v>21</v>
      </c>
      <c r="L144" s="16">
        <v>24609.25</v>
      </c>
      <c r="M144" s="15" t="s">
        <v>21</v>
      </c>
      <c r="N144" s="16">
        <v>1.0</v>
      </c>
      <c r="O144" s="16">
        <v>0.0</v>
      </c>
      <c r="P144" s="16">
        <v>24600.0</v>
      </c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>
      <c r="A145" s="15" t="s">
        <v>359</v>
      </c>
      <c r="B145" s="15" t="s">
        <v>35</v>
      </c>
      <c r="C145" s="16">
        <v>0.0</v>
      </c>
      <c r="D145" s="17" t="s">
        <v>360</v>
      </c>
      <c r="E145" s="17" t="s">
        <v>361</v>
      </c>
      <c r="F145" s="15" t="s">
        <v>21</v>
      </c>
      <c r="G145" s="15" t="s">
        <v>21</v>
      </c>
      <c r="H145" s="17" t="s">
        <v>362</v>
      </c>
      <c r="I145" s="15" t="s">
        <v>21</v>
      </c>
      <c r="J145" s="15" t="s">
        <v>22</v>
      </c>
      <c r="K145" s="15" t="s">
        <v>21</v>
      </c>
      <c r="L145" s="16">
        <v>24609.75</v>
      </c>
      <c r="M145" s="15" t="s">
        <v>21</v>
      </c>
      <c r="N145" s="16">
        <v>1.0</v>
      </c>
      <c r="O145" s="16">
        <v>0.0</v>
      </c>
      <c r="P145" s="16">
        <v>24600.0</v>
      </c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>
      <c r="A146" s="15" t="s">
        <v>363</v>
      </c>
      <c r="B146" s="15" t="s">
        <v>35</v>
      </c>
      <c r="C146" s="16">
        <v>35.0</v>
      </c>
      <c r="D146" s="17" t="s">
        <v>364</v>
      </c>
      <c r="E146" s="17" t="s">
        <v>365</v>
      </c>
      <c r="F146" s="15" t="s">
        <v>21</v>
      </c>
      <c r="G146" s="15" t="s">
        <v>21</v>
      </c>
      <c r="H146" s="17" t="s">
        <v>366</v>
      </c>
      <c r="I146" s="15" t="s">
        <v>21</v>
      </c>
      <c r="J146" s="15" t="s">
        <v>22</v>
      </c>
      <c r="K146" s="15" t="s">
        <v>21</v>
      </c>
      <c r="L146" s="16">
        <v>24626.1</v>
      </c>
      <c r="M146" s="15" t="s">
        <v>21</v>
      </c>
      <c r="N146" s="16">
        <v>1.0</v>
      </c>
      <c r="O146" s="16">
        <v>0.0</v>
      </c>
      <c r="P146" s="16">
        <v>24650.0</v>
      </c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>
      <c r="A147" s="19" t="s">
        <v>367</v>
      </c>
      <c r="B147" s="19" t="s">
        <v>35</v>
      </c>
      <c r="C147" s="20">
        <v>40.0</v>
      </c>
      <c r="D147" s="21" t="s">
        <v>368</v>
      </c>
      <c r="E147" s="21" t="s">
        <v>369</v>
      </c>
      <c r="F147" s="19" t="s">
        <v>21</v>
      </c>
      <c r="G147" s="19" t="s">
        <v>21</v>
      </c>
      <c r="H147" s="21" t="s">
        <v>370</v>
      </c>
      <c r="I147" s="19" t="s">
        <v>21</v>
      </c>
      <c r="J147" s="19" t="s">
        <v>22</v>
      </c>
      <c r="K147" s="19" t="s">
        <v>21</v>
      </c>
      <c r="L147" s="20">
        <v>24650.8</v>
      </c>
      <c r="M147" s="19" t="s">
        <v>21</v>
      </c>
      <c r="N147" s="20">
        <v>1.0</v>
      </c>
      <c r="O147" s="20">
        <v>0.0</v>
      </c>
      <c r="P147" s="20">
        <v>24650.0</v>
      </c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>
      <c r="A148" s="15" t="s">
        <v>371</v>
      </c>
      <c r="B148" s="15" t="s">
        <v>35</v>
      </c>
      <c r="C148" s="16">
        <v>35.0</v>
      </c>
      <c r="D148" s="17" t="s">
        <v>372</v>
      </c>
      <c r="E148" s="17" t="s">
        <v>373</v>
      </c>
      <c r="F148" s="15" t="s">
        <v>21</v>
      </c>
      <c r="G148" s="15" t="s">
        <v>21</v>
      </c>
      <c r="H148" s="17" t="s">
        <v>374</v>
      </c>
      <c r="I148" s="15" t="s">
        <v>21</v>
      </c>
      <c r="J148" s="15" t="s">
        <v>22</v>
      </c>
      <c r="K148" s="15" t="s">
        <v>21</v>
      </c>
      <c r="L148" s="16">
        <v>24670.65</v>
      </c>
      <c r="M148" s="15" t="s">
        <v>21</v>
      </c>
      <c r="N148" s="16">
        <v>1.0</v>
      </c>
      <c r="O148" s="16">
        <v>0.0</v>
      </c>
      <c r="P148" s="16">
        <v>24650.0</v>
      </c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>
      <c r="A149" s="15" t="s">
        <v>375</v>
      </c>
      <c r="B149" s="15" t="s">
        <v>35</v>
      </c>
      <c r="C149" s="16">
        <v>35.0</v>
      </c>
      <c r="D149" s="17" t="s">
        <v>376</v>
      </c>
      <c r="E149" s="17" t="s">
        <v>377</v>
      </c>
      <c r="F149" s="15" t="s">
        <v>21</v>
      </c>
      <c r="G149" s="15" t="s">
        <v>21</v>
      </c>
      <c r="H149" s="17" t="s">
        <v>378</v>
      </c>
      <c r="I149" s="15" t="s">
        <v>21</v>
      </c>
      <c r="J149" s="15" t="s">
        <v>22</v>
      </c>
      <c r="K149" s="15" t="s">
        <v>21</v>
      </c>
      <c r="L149" s="16">
        <v>24662.0</v>
      </c>
      <c r="M149" s="15" t="s">
        <v>21</v>
      </c>
      <c r="N149" s="16">
        <v>1.0</v>
      </c>
      <c r="O149" s="16">
        <v>0.0</v>
      </c>
      <c r="P149" s="16">
        <v>24650.0</v>
      </c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>
      <c r="A150" s="15" t="s">
        <v>379</v>
      </c>
      <c r="B150" s="15" t="s">
        <v>35</v>
      </c>
      <c r="C150" s="16">
        <v>25.0</v>
      </c>
      <c r="D150" s="17" t="s">
        <v>380</v>
      </c>
      <c r="E150" s="17" t="s">
        <v>381</v>
      </c>
      <c r="F150" s="15" t="s">
        <v>21</v>
      </c>
      <c r="G150" s="15" t="s">
        <v>21</v>
      </c>
      <c r="H150" s="17" t="s">
        <v>382</v>
      </c>
      <c r="I150" s="15" t="s">
        <v>21</v>
      </c>
      <c r="J150" s="15" t="s">
        <v>22</v>
      </c>
      <c r="K150" s="15" t="s">
        <v>21</v>
      </c>
      <c r="L150" s="16">
        <v>24662.4</v>
      </c>
      <c r="M150" s="15" t="s">
        <v>21</v>
      </c>
      <c r="N150" s="16">
        <v>1.0</v>
      </c>
      <c r="O150" s="16">
        <v>0.0</v>
      </c>
      <c r="P150" s="16">
        <v>24650.0</v>
      </c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>
      <c r="A151" s="15" t="s">
        <v>383</v>
      </c>
      <c r="B151" s="15" t="s">
        <v>35</v>
      </c>
      <c r="C151" s="16">
        <v>30.0</v>
      </c>
      <c r="D151" s="17" t="s">
        <v>384</v>
      </c>
      <c r="E151" s="17" t="s">
        <v>385</v>
      </c>
      <c r="F151" s="15" t="s">
        <v>21</v>
      </c>
      <c r="G151" s="15" t="s">
        <v>21</v>
      </c>
      <c r="H151" s="17" t="s">
        <v>386</v>
      </c>
      <c r="I151" s="15" t="s">
        <v>21</v>
      </c>
      <c r="J151" s="15" t="s">
        <v>22</v>
      </c>
      <c r="K151" s="15" t="s">
        <v>21</v>
      </c>
      <c r="L151" s="16">
        <v>24651.5</v>
      </c>
      <c r="M151" s="15" t="s">
        <v>21</v>
      </c>
      <c r="N151" s="16">
        <v>1.0</v>
      </c>
      <c r="O151" s="16">
        <v>0.0</v>
      </c>
      <c r="P151" s="16">
        <v>24650.0</v>
      </c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>
      <c r="A152" s="15" t="s">
        <v>387</v>
      </c>
      <c r="B152" s="15" t="s">
        <v>35</v>
      </c>
      <c r="C152" s="16">
        <v>30.0</v>
      </c>
      <c r="D152" s="17" t="s">
        <v>384</v>
      </c>
      <c r="E152" s="17" t="s">
        <v>385</v>
      </c>
      <c r="F152" s="15" t="s">
        <v>21</v>
      </c>
      <c r="G152" s="15" t="s">
        <v>21</v>
      </c>
      <c r="H152" s="17" t="s">
        <v>378</v>
      </c>
      <c r="I152" s="15" t="s">
        <v>21</v>
      </c>
      <c r="J152" s="15" t="s">
        <v>22</v>
      </c>
      <c r="K152" s="15" t="s">
        <v>21</v>
      </c>
      <c r="L152" s="16">
        <v>24649.55</v>
      </c>
      <c r="M152" s="15" t="s">
        <v>21</v>
      </c>
      <c r="N152" s="16">
        <v>1.0</v>
      </c>
      <c r="O152" s="16">
        <v>0.0</v>
      </c>
      <c r="P152" s="16">
        <v>24650.0</v>
      </c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>
      <c r="A153" s="15" t="s">
        <v>388</v>
      </c>
      <c r="B153" s="15" t="s">
        <v>35</v>
      </c>
      <c r="C153" s="16">
        <v>30.0</v>
      </c>
      <c r="D153" s="17" t="s">
        <v>384</v>
      </c>
      <c r="E153" s="17" t="s">
        <v>385</v>
      </c>
      <c r="F153" s="15" t="s">
        <v>21</v>
      </c>
      <c r="G153" s="15" t="s">
        <v>21</v>
      </c>
      <c r="H153" s="17" t="s">
        <v>378</v>
      </c>
      <c r="I153" s="15" t="s">
        <v>21</v>
      </c>
      <c r="J153" s="15" t="s">
        <v>22</v>
      </c>
      <c r="K153" s="15" t="s">
        <v>21</v>
      </c>
      <c r="L153" s="16">
        <v>24649.55</v>
      </c>
      <c r="M153" s="15" t="s">
        <v>21</v>
      </c>
      <c r="N153" s="16">
        <v>1.0</v>
      </c>
      <c r="O153" s="16">
        <v>0.0</v>
      </c>
      <c r="P153" s="16">
        <v>24650.0</v>
      </c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>
      <c r="A154" s="15" t="s">
        <v>389</v>
      </c>
      <c r="B154" s="15" t="s">
        <v>35</v>
      </c>
      <c r="C154" s="16">
        <v>30.0</v>
      </c>
      <c r="D154" s="17" t="s">
        <v>384</v>
      </c>
      <c r="E154" s="17" t="s">
        <v>385</v>
      </c>
      <c r="F154" s="15" t="s">
        <v>21</v>
      </c>
      <c r="G154" s="15" t="s">
        <v>21</v>
      </c>
      <c r="H154" s="17" t="s">
        <v>378</v>
      </c>
      <c r="I154" s="15" t="s">
        <v>21</v>
      </c>
      <c r="J154" s="15" t="s">
        <v>22</v>
      </c>
      <c r="K154" s="15" t="s">
        <v>21</v>
      </c>
      <c r="L154" s="16">
        <v>24649.55</v>
      </c>
      <c r="M154" s="15" t="s">
        <v>21</v>
      </c>
      <c r="N154" s="16">
        <v>1.0</v>
      </c>
      <c r="O154" s="16">
        <v>0.0</v>
      </c>
      <c r="P154" s="16">
        <v>24650.0</v>
      </c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>
      <c r="A155" s="15" t="s">
        <v>390</v>
      </c>
      <c r="B155" s="15" t="s">
        <v>35</v>
      </c>
      <c r="C155" s="16">
        <v>30.0</v>
      </c>
      <c r="D155" s="17" t="s">
        <v>384</v>
      </c>
      <c r="E155" s="17" t="s">
        <v>385</v>
      </c>
      <c r="F155" s="15" t="s">
        <v>21</v>
      </c>
      <c r="G155" s="15" t="s">
        <v>21</v>
      </c>
      <c r="H155" s="17" t="s">
        <v>378</v>
      </c>
      <c r="I155" s="15" t="s">
        <v>21</v>
      </c>
      <c r="J155" s="15" t="s">
        <v>22</v>
      </c>
      <c r="K155" s="15" t="s">
        <v>21</v>
      </c>
      <c r="L155" s="16">
        <v>24649.55</v>
      </c>
      <c r="M155" s="15" t="s">
        <v>21</v>
      </c>
      <c r="N155" s="16">
        <v>1.0</v>
      </c>
      <c r="O155" s="16">
        <v>0.0</v>
      </c>
      <c r="P155" s="16">
        <v>24650.0</v>
      </c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>
      <c r="A156" s="15" t="s">
        <v>391</v>
      </c>
      <c r="B156" s="15" t="s">
        <v>35</v>
      </c>
      <c r="C156" s="16">
        <v>30.0</v>
      </c>
      <c r="D156" s="17" t="s">
        <v>384</v>
      </c>
      <c r="E156" s="17" t="s">
        <v>385</v>
      </c>
      <c r="F156" s="15" t="s">
        <v>21</v>
      </c>
      <c r="G156" s="15" t="s">
        <v>21</v>
      </c>
      <c r="H156" s="17" t="s">
        <v>378</v>
      </c>
      <c r="I156" s="15" t="s">
        <v>21</v>
      </c>
      <c r="J156" s="15" t="s">
        <v>22</v>
      </c>
      <c r="K156" s="15" t="s">
        <v>21</v>
      </c>
      <c r="L156" s="16">
        <v>24649.55</v>
      </c>
      <c r="M156" s="15" t="s">
        <v>21</v>
      </c>
      <c r="N156" s="16">
        <v>1.0</v>
      </c>
      <c r="O156" s="16">
        <v>0.0</v>
      </c>
      <c r="P156" s="16">
        <v>24650.0</v>
      </c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>
      <c r="A157" s="15" t="s">
        <v>392</v>
      </c>
      <c r="B157" s="15" t="s">
        <v>35</v>
      </c>
      <c r="C157" s="16">
        <v>0.0</v>
      </c>
      <c r="D157" s="17" t="s">
        <v>393</v>
      </c>
      <c r="E157" s="17" t="s">
        <v>394</v>
      </c>
      <c r="F157" s="15" t="s">
        <v>21</v>
      </c>
      <c r="G157" s="15" t="s">
        <v>21</v>
      </c>
      <c r="H157" s="17" t="s">
        <v>307</v>
      </c>
      <c r="I157" s="15" t="s">
        <v>21</v>
      </c>
      <c r="J157" s="15" t="s">
        <v>22</v>
      </c>
      <c r="K157" s="15" t="s">
        <v>21</v>
      </c>
      <c r="L157" s="16">
        <v>24574.2</v>
      </c>
      <c r="M157" s="15" t="s">
        <v>21</v>
      </c>
      <c r="N157" s="16">
        <v>1.0</v>
      </c>
      <c r="O157" s="16">
        <v>0.0</v>
      </c>
      <c r="P157" s="16">
        <v>24550.0</v>
      </c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>
      <c r="A158" s="15" t="s">
        <v>395</v>
      </c>
      <c r="B158" s="15" t="s">
        <v>35</v>
      </c>
      <c r="C158" s="16">
        <v>0.0</v>
      </c>
      <c r="D158" s="17" t="s">
        <v>393</v>
      </c>
      <c r="E158" s="17" t="s">
        <v>394</v>
      </c>
      <c r="F158" s="15" t="s">
        <v>21</v>
      </c>
      <c r="G158" s="15" t="s">
        <v>21</v>
      </c>
      <c r="H158" s="17" t="s">
        <v>307</v>
      </c>
      <c r="I158" s="15" t="s">
        <v>21</v>
      </c>
      <c r="J158" s="15" t="s">
        <v>22</v>
      </c>
      <c r="K158" s="15" t="s">
        <v>21</v>
      </c>
      <c r="L158" s="16">
        <v>24574.2</v>
      </c>
      <c r="M158" s="15" t="s">
        <v>21</v>
      </c>
      <c r="N158" s="16">
        <v>1.0</v>
      </c>
      <c r="O158" s="16">
        <v>0.0</v>
      </c>
      <c r="P158" s="16">
        <v>24550.0</v>
      </c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>
      <c r="A159" s="15" t="s">
        <v>396</v>
      </c>
      <c r="B159" s="15" t="s">
        <v>35</v>
      </c>
      <c r="C159" s="16">
        <v>0.0</v>
      </c>
      <c r="D159" s="17" t="s">
        <v>393</v>
      </c>
      <c r="E159" s="17" t="s">
        <v>394</v>
      </c>
      <c r="F159" s="15" t="s">
        <v>21</v>
      </c>
      <c r="G159" s="15" t="s">
        <v>21</v>
      </c>
      <c r="H159" s="17" t="s">
        <v>307</v>
      </c>
      <c r="I159" s="15" t="s">
        <v>21</v>
      </c>
      <c r="J159" s="15" t="s">
        <v>22</v>
      </c>
      <c r="K159" s="15" t="s">
        <v>21</v>
      </c>
      <c r="L159" s="16">
        <v>24574.2</v>
      </c>
      <c r="M159" s="15" t="s">
        <v>21</v>
      </c>
      <c r="N159" s="16">
        <v>1.0</v>
      </c>
      <c r="O159" s="16">
        <v>0.0</v>
      </c>
      <c r="P159" s="16">
        <v>24550.0</v>
      </c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>
      <c r="A160" s="15" t="s">
        <v>397</v>
      </c>
      <c r="B160" s="15" t="s">
        <v>35</v>
      </c>
      <c r="C160" s="16">
        <v>0.0</v>
      </c>
      <c r="D160" s="17" t="s">
        <v>393</v>
      </c>
      <c r="E160" s="17" t="s">
        <v>394</v>
      </c>
      <c r="F160" s="15" t="s">
        <v>21</v>
      </c>
      <c r="G160" s="15" t="s">
        <v>21</v>
      </c>
      <c r="H160" s="17" t="s">
        <v>307</v>
      </c>
      <c r="I160" s="15" t="s">
        <v>21</v>
      </c>
      <c r="J160" s="15" t="s">
        <v>22</v>
      </c>
      <c r="K160" s="15" t="s">
        <v>21</v>
      </c>
      <c r="L160" s="16">
        <v>24574.2</v>
      </c>
      <c r="M160" s="15" t="s">
        <v>21</v>
      </c>
      <c r="N160" s="16">
        <v>1.0</v>
      </c>
      <c r="O160" s="16">
        <v>0.0</v>
      </c>
      <c r="P160" s="16">
        <v>24550.0</v>
      </c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>
      <c r="A161" s="15" t="s">
        <v>398</v>
      </c>
      <c r="B161" s="15" t="s">
        <v>33</v>
      </c>
      <c r="C161" s="16">
        <v>-10.0</v>
      </c>
      <c r="D161" s="17" t="s">
        <v>393</v>
      </c>
      <c r="E161" s="17" t="s">
        <v>394</v>
      </c>
      <c r="F161" s="15" t="s">
        <v>21</v>
      </c>
      <c r="G161" s="15" t="s">
        <v>399</v>
      </c>
      <c r="H161" s="17" t="s">
        <v>307</v>
      </c>
      <c r="I161" s="15" t="s">
        <v>21</v>
      </c>
      <c r="J161" s="15" t="s">
        <v>22</v>
      </c>
      <c r="K161" s="15" t="s">
        <v>400</v>
      </c>
      <c r="L161" s="16">
        <v>24574.2</v>
      </c>
      <c r="M161" s="15" t="s">
        <v>21</v>
      </c>
      <c r="N161" s="16">
        <v>1.0</v>
      </c>
      <c r="O161" s="16">
        <v>0.0</v>
      </c>
      <c r="P161" s="16">
        <v>24550.0</v>
      </c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>
      <c r="A162" s="15" t="s">
        <v>401</v>
      </c>
      <c r="B162" s="15" t="s">
        <v>33</v>
      </c>
      <c r="C162" s="16">
        <v>-10.0</v>
      </c>
      <c r="D162" s="17" t="s">
        <v>393</v>
      </c>
      <c r="E162" s="17" t="s">
        <v>394</v>
      </c>
      <c r="F162" s="15" t="s">
        <v>21</v>
      </c>
      <c r="G162" s="15" t="s">
        <v>399</v>
      </c>
      <c r="H162" s="17" t="s">
        <v>307</v>
      </c>
      <c r="I162" s="15" t="s">
        <v>21</v>
      </c>
      <c r="J162" s="15" t="s">
        <v>22</v>
      </c>
      <c r="K162" s="15" t="s">
        <v>400</v>
      </c>
      <c r="L162" s="16">
        <v>24574.2</v>
      </c>
      <c r="M162" s="15" t="s">
        <v>21</v>
      </c>
      <c r="N162" s="16">
        <v>1.0</v>
      </c>
      <c r="O162" s="16">
        <v>0.0</v>
      </c>
      <c r="P162" s="16">
        <v>24550.0</v>
      </c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>
      <c r="A163" s="15" t="s">
        <v>402</v>
      </c>
      <c r="B163" s="15" t="s">
        <v>33</v>
      </c>
      <c r="C163" s="16">
        <v>-10.0</v>
      </c>
      <c r="D163" s="17" t="s">
        <v>393</v>
      </c>
      <c r="E163" s="17" t="s">
        <v>394</v>
      </c>
      <c r="F163" s="15" t="s">
        <v>21</v>
      </c>
      <c r="G163" s="15" t="s">
        <v>399</v>
      </c>
      <c r="H163" s="17" t="s">
        <v>307</v>
      </c>
      <c r="I163" s="15" t="s">
        <v>21</v>
      </c>
      <c r="J163" s="15" t="s">
        <v>22</v>
      </c>
      <c r="K163" s="15" t="s">
        <v>400</v>
      </c>
      <c r="L163" s="16">
        <v>24574.2</v>
      </c>
      <c r="M163" s="15" t="s">
        <v>21</v>
      </c>
      <c r="N163" s="16">
        <v>1.0</v>
      </c>
      <c r="O163" s="16">
        <v>0.0</v>
      </c>
      <c r="P163" s="16">
        <v>24550.0</v>
      </c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>
      <c r="A164" s="15" t="s">
        <v>403</v>
      </c>
      <c r="B164" s="15" t="s">
        <v>33</v>
      </c>
      <c r="C164" s="16">
        <v>-10.0</v>
      </c>
      <c r="D164" s="17" t="s">
        <v>393</v>
      </c>
      <c r="E164" s="17" t="s">
        <v>394</v>
      </c>
      <c r="F164" s="15" t="s">
        <v>21</v>
      </c>
      <c r="G164" s="15" t="s">
        <v>399</v>
      </c>
      <c r="H164" s="17" t="s">
        <v>307</v>
      </c>
      <c r="I164" s="15" t="s">
        <v>21</v>
      </c>
      <c r="J164" s="15" t="s">
        <v>22</v>
      </c>
      <c r="K164" s="15" t="s">
        <v>400</v>
      </c>
      <c r="L164" s="16">
        <v>24574.2</v>
      </c>
      <c r="M164" s="15" t="s">
        <v>21</v>
      </c>
      <c r="N164" s="16">
        <v>1.0</v>
      </c>
      <c r="O164" s="16">
        <v>0.0</v>
      </c>
      <c r="P164" s="16">
        <v>24550.0</v>
      </c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>
      <c r="A165" s="15" t="s">
        <v>404</v>
      </c>
      <c r="B165" s="15" t="s">
        <v>33</v>
      </c>
      <c r="C165" s="16">
        <v>-10.0</v>
      </c>
      <c r="D165" s="17" t="s">
        <v>393</v>
      </c>
      <c r="E165" s="17" t="s">
        <v>394</v>
      </c>
      <c r="F165" s="15" t="s">
        <v>21</v>
      </c>
      <c r="G165" s="15" t="s">
        <v>399</v>
      </c>
      <c r="H165" s="17" t="s">
        <v>307</v>
      </c>
      <c r="I165" s="15" t="s">
        <v>21</v>
      </c>
      <c r="J165" s="15" t="s">
        <v>22</v>
      </c>
      <c r="K165" s="15" t="s">
        <v>400</v>
      </c>
      <c r="L165" s="16">
        <v>24574.2</v>
      </c>
      <c r="M165" s="15" t="s">
        <v>21</v>
      </c>
      <c r="N165" s="16">
        <v>1.0</v>
      </c>
      <c r="O165" s="16">
        <v>0.0</v>
      </c>
      <c r="P165" s="16">
        <v>24550.0</v>
      </c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>
      <c r="A166" s="15" t="s">
        <v>405</v>
      </c>
      <c r="B166" s="15" t="s">
        <v>33</v>
      </c>
      <c r="C166" s="16">
        <v>-10.0</v>
      </c>
      <c r="D166" s="17" t="s">
        <v>393</v>
      </c>
      <c r="E166" s="17" t="s">
        <v>394</v>
      </c>
      <c r="F166" s="15" t="s">
        <v>21</v>
      </c>
      <c r="G166" s="15" t="s">
        <v>399</v>
      </c>
      <c r="H166" s="17" t="s">
        <v>307</v>
      </c>
      <c r="I166" s="15" t="s">
        <v>21</v>
      </c>
      <c r="J166" s="15" t="s">
        <v>22</v>
      </c>
      <c r="K166" s="15" t="s">
        <v>400</v>
      </c>
      <c r="L166" s="16">
        <v>24574.2</v>
      </c>
      <c r="M166" s="15" t="s">
        <v>21</v>
      </c>
      <c r="N166" s="16">
        <v>1.0</v>
      </c>
      <c r="O166" s="16">
        <v>0.0</v>
      </c>
      <c r="P166" s="16">
        <v>24550.0</v>
      </c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>
      <c r="A167" s="15" t="s">
        <v>405</v>
      </c>
      <c r="B167" s="15" t="s">
        <v>33</v>
      </c>
      <c r="C167" s="16">
        <v>-10.0</v>
      </c>
      <c r="D167" s="17" t="s">
        <v>393</v>
      </c>
      <c r="E167" s="17" t="s">
        <v>394</v>
      </c>
      <c r="F167" s="15" t="s">
        <v>21</v>
      </c>
      <c r="G167" s="15" t="s">
        <v>21</v>
      </c>
      <c r="H167" s="17" t="s">
        <v>307</v>
      </c>
      <c r="I167" s="15" t="s">
        <v>21</v>
      </c>
      <c r="J167" s="15" t="s">
        <v>22</v>
      </c>
      <c r="K167" s="15" t="s">
        <v>400</v>
      </c>
      <c r="L167" s="16">
        <v>24574.2</v>
      </c>
      <c r="M167" s="15" t="s">
        <v>21</v>
      </c>
      <c r="N167" s="16">
        <v>1.0</v>
      </c>
      <c r="O167" s="16">
        <v>0.0</v>
      </c>
      <c r="P167" s="16">
        <v>24550.0</v>
      </c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>
      <c r="A168" s="15" t="s">
        <v>406</v>
      </c>
      <c r="B168" s="15" t="s">
        <v>33</v>
      </c>
      <c r="C168" s="16">
        <v>-10.0</v>
      </c>
      <c r="D168" s="17" t="s">
        <v>393</v>
      </c>
      <c r="E168" s="17" t="s">
        <v>394</v>
      </c>
      <c r="F168" s="15" t="s">
        <v>21</v>
      </c>
      <c r="G168" s="15" t="s">
        <v>21</v>
      </c>
      <c r="H168" s="17" t="s">
        <v>307</v>
      </c>
      <c r="I168" s="15" t="s">
        <v>21</v>
      </c>
      <c r="J168" s="15" t="s">
        <v>22</v>
      </c>
      <c r="K168" s="15" t="s">
        <v>400</v>
      </c>
      <c r="L168" s="16">
        <v>24574.2</v>
      </c>
      <c r="M168" s="15" t="s">
        <v>21</v>
      </c>
      <c r="N168" s="16">
        <v>1.0</v>
      </c>
      <c r="O168" s="16">
        <v>0.0</v>
      </c>
      <c r="P168" s="16">
        <v>24550.0</v>
      </c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>
      <c r="A169" s="15" t="s">
        <v>407</v>
      </c>
      <c r="B169" s="15" t="s">
        <v>33</v>
      </c>
      <c r="C169" s="16">
        <v>-10.0</v>
      </c>
      <c r="D169" s="17" t="s">
        <v>393</v>
      </c>
      <c r="E169" s="17" t="s">
        <v>394</v>
      </c>
      <c r="F169" s="15" t="s">
        <v>21</v>
      </c>
      <c r="G169" s="15" t="s">
        <v>21</v>
      </c>
      <c r="H169" s="17" t="s">
        <v>307</v>
      </c>
      <c r="I169" s="15" t="s">
        <v>21</v>
      </c>
      <c r="J169" s="15" t="s">
        <v>22</v>
      </c>
      <c r="K169" s="15" t="s">
        <v>400</v>
      </c>
      <c r="L169" s="16">
        <v>24574.2</v>
      </c>
      <c r="M169" s="15" t="s">
        <v>21</v>
      </c>
      <c r="N169" s="16">
        <v>1.0</v>
      </c>
      <c r="O169" s="16">
        <v>0.0</v>
      </c>
      <c r="P169" s="16">
        <v>24550.0</v>
      </c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>
      <c r="A170" s="23" t="s">
        <v>408</v>
      </c>
      <c r="B170" s="23" t="s">
        <v>33</v>
      </c>
      <c r="C170" s="24">
        <v>-12.0</v>
      </c>
      <c r="D170" s="25" t="s">
        <v>409</v>
      </c>
      <c r="E170" s="25" t="s">
        <v>410</v>
      </c>
      <c r="F170" s="23" t="s">
        <v>21</v>
      </c>
      <c r="G170" s="23" t="s">
        <v>21</v>
      </c>
      <c r="H170" s="25" t="s">
        <v>411</v>
      </c>
      <c r="I170" s="23" t="s">
        <v>21</v>
      </c>
      <c r="J170" s="23" t="s">
        <v>22</v>
      </c>
      <c r="K170" s="23" t="s">
        <v>412</v>
      </c>
      <c r="L170" s="24">
        <v>24521.0</v>
      </c>
      <c r="M170" s="23" t="s">
        <v>21</v>
      </c>
      <c r="N170" s="24">
        <v>1.0</v>
      </c>
      <c r="O170" s="24">
        <v>0.0</v>
      </c>
      <c r="P170" s="24">
        <v>24500.0</v>
      </c>
    </row>
    <row r="171">
      <c r="A171" s="23" t="s">
        <v>413</v>
      </c>
      <c r="B171" s="23" t="s">
        <v>35</v>
      </c>
      <c r="C171" s="24">
        <v>2.0</v>
      </c>
      <c r="D171" s="25" t="s">
        <v>414</v>
      </c>
      <c r="E171" s="25" t="s">
        <v>415</v>
      </c>
      <c r="F171" s="23" t="s">
        <v>21</v>
      </c>
      <c r="G171" s="23" t="s">
        <v>21</v>
      </c>
      <c r="H171" s="25" t="s">
        <v>416</v>
      </c>
      <c r="I171" s="23" t="s">
        <v>21</v>
      </c>
      <c r="J171" s="23" t="s">
        <v>22</v>
      </c>
      <c r="K171" s="23" t="s">
        <v>417</v>
      </c>
      <c r="L171" s="24">
        <v>24525.3</v>
      </c>
      <c r="M171" s="23" t="s">
        <v>21</v>
      </c>
      <c r="N171" s="24">
        <v>1.0</v>
      </c>
      <c r="O171" s="24">
        <v>0.0</v>
      </c>
      <c r="P171" s="24">
        <v>24550.0</v>
      </c>
    </row>
    <row r="172">
      <c r="A172" s="23" t="s">
        <v>418</v>
      </c>
      <c r="B172" s="23" t="s">
        <v>33</v>
      </c>
      <c r="C172" s="24">
        <v>-12.0</v>
      </c>
      <c r="D172" s="25" t="s">
        <v>419</v>
      </c>
      <c r="E172" s="25" t="s">
        <v>420</v>
      </c>
      <c r="F172" s="23" t="s">
        <v>21</v>
      </c>
      <c r="G172" s="23" t="s">
        <v>21</v>
      </c>
      <c r="H172" s="25" t="s">
        <v>352</v>
      </c>
      <c r="I172" s="23" t="s">
        <v>21</v>
      </c>
      <c r="J172" s="23" t="s">
        <v>22</v>
      </c>
      <c r="K172" s="23" t="s">
        <v>412</v>
      </c>
      <c r="L172" s="24">
        <v>24520.1</v>
      </c>
      <c r="M172" s="23" t="s">
        <v>21</v>
      </c>
      <c r="N172" s="24">
        <v>1.0</v>
      </c>
      <c r="O172" s="24">
        <v>0.0</v>
      </c>
      <c r="P172" s="24">
        <v>24500.0</v>
      </c>
    </row>
    <row r="173">
      <c r="A173" s="23" t="s">
        <v>421</v>
      </c>
      <c r="B173" s="23" t="s">
        <v>33</v>
      </c>
      <c r="C173" s="24">
        <v>-12.0</v>
      </c>
      <c r="D173" s="25" t="s">
        <v>422</v>
      </c>
      <c r="E173" s="25" t="s">
        <v>423</v>
      </c>
      <c r="F173" s="23" t="s">
        <v>21</v>
      </c>
      <c r="G173" s="23" t="s">
        <v>21</v>
      </c>
      <c r="H173" s="25" t="s">
        <v>362</v>
      </c>
      <c r="I173" s="23" t="s">
        <v>21</v>
      </c>
      <c r="J173" s="23" t="s">
        <v>22</v>
      </c>
      <c r="K173" s="23" t="s">
        <v>412</v>
      </c>
      <c r="L173" s="24">
        <v>24516.9</v>
      </c>
      <c r="M173" s="23" t="s">
        <v>21</v>
      </c>
      <c r="N173" s="24">
        <v>1.0</v>
      </c>
      <c r="O173" s="24">
        <v>0.0</v>
      </c>
      <c r="P173" s="24">
        <v>24500.0</v>
      </c>
    </row>
    <row r="174">
      <c r="A174" s="23" t="s">
        <v>424</v>
      </c>
      <c r="B174" s="23" t="s">
        <v>33</v>
      </c>
      <c r="C174" s="24">
        <v>-2.0</v>
      </c>
      <c r="D174" s="25" t="s">
        <v>425</v>
      </c>
      <c r="E174" s="25" t="s">
        <v>426</v>
      </c>
      <c r="F174" s="23" t="s">
        <v>21</v>
      </c>
      <c r="G174" s="23" t="s">
        <v>21</v>
      </c>
      <c r="H174" s="25" t="s">
        <v>283</v>
      </c>
      <c r="I174" s="23" t="s">
        <v>21</v>
      </c>
      <c r="J174" s="23" t="s">
        <v>22</v>
      </c>
      <c r="K174" s="23" t="s">
        <v>412</v>
      </c>
      <c r="L174" s="24">
        <v>24504.65</v>
      </c>
      <c r="M174" s="23" t="s">
        <v>21</v>
      </c>
      <c r="N174" s="24">
        <v>1.0</v>
      </c>
      <c r="O174" s="24">
        <v>0.0</v>
      </c>
      <c r="P174" s="24">
        <v>24500.0</v>
      </c>
    </row>
    <row r="175">
      <c r="A175" s="23" t="s">
        <v>427</v>
      </c>
      <c r="B175" s="23" t="s">
        <v>35</v>
      </c>
      <c r="C175" s="24">
        <v>8.0</v>
      </c>
      <c r="D175" s="25" t="s">
        <v>428</v>
      </c>
      <c r="E175" s="25" t="s">
        <v>429</v>
      </c>
      <c r="F175" s="23" t="s">
        <v>21</v>
      </c>
      <c r="G175" s="23" t="s">
        <v>21</v>
      </c>
      <c r="H175" s="25" t="s">
        <v>362</v>
      </c>
      <c r="I175" s="23" t="s">
        <v>21</v>
      </c>
      <c r="J175" s="23" t="s">
        <v>22</v>
      </c>
      <c r="K175" s="23" t="s">
        <v>412</v>
      </c>
      <c r="L175" s="24">
        <v>24502.35</v>
      </c>
      <c r="M175" s="23" t="s">
        <v>21</v>
      </c>
      <c r="N175" s="24">
        <v>1.0</v>
      </c>
      <c r="O175" s="24">
        <v>0.0</v>
      </c>
      <c r="P175" s="24">
        <v>24500.0</v>
      </c>
    </row>
    <row r="176">
      <c r="A176" s="23" t="s">
        <v>430</v>
      </c>
      <c r="B176" s="23" t="s">
        <v>35</v>
      </c>
      <c r="C176" s="24">
        <v>13.0</v>
      </c>
      <c r="D176" s="25" t="s">
        <v>431</v>
      </c>
      <c r="E176" s="25" t="s">
        <v>432</v>
      </c>
      <c r="F176" s="23" t="s">
        <v>21</v>
      </c>
      <c r="G176" s="23" t="s">
        <v>21</v>
      </c>
      <c r="H176" s="25" t="s">
        <v>293</v>
      </c>
      <c r="I176" s="23" t="s">
        <v>21</v>
      </c>
      <c r="J176" s="23" t="s">
        <v>22</v>
      </c>
      <c r="K176" s="23" t="s">
        <v>412</v>
      </c>
      <c r="L176" s="24">
        <v>24502.4</v>
      </c>
      <c r="M176" s="23" t="s">
        <v>21</v>
      </c>
      <c r="N176" s="24">
        <v>1.0</v>
      </c>
      <c r="O176" s="24">
        <v>0.0</v>
      </c>
      <c r="P176" s="24">
        <v>24500.0</v>
      </c>
    </row>
    <row r="177">
      <c r="A177" s="23" t="s">
        <v>433</v>
      </c>
      <c r="B177" s="23" t="s">
        <v>35</v>
      </c>
      <c r="C177" s="24">
        <v>12.0</v>
      </c>
      <c r="D177" s="25" t="s">
        <v>434</v>
      </c>
      <c r="E177" s="25" t="s">
        <v>435</v>
      </c>
      <c r="F177" s="23" t="s">
        <v>21</v>
      </c>
      <c r="G177" s="23" t="s">
        <v>21</v>
      </c>
      <c r="H177" s="25" t="s">
        <v>411</v>
      </c>
      <c r="I177" s="23" t="s">
        <v>21</v>
      </c>
      <c r="J177" s="23" t="s">
        <v>22</v>
      </c>
      <c r="K177" s="23" t="s">
        <v>417</v>
      </c>
      <c r="L177" s="24">
        <v>24481.3</v>
      </c>
      <c r="M177" s="23" t="s">
        <v>21</v>
      </c>
      <c r="N177" s="24">
        <v>1.0</v>
      </c>
      <c r="O177" s="24">
        <v>0.0</v>
      </c>
      <c r="P177" s="24">
        <v>24500.0</v>
      </c>
    </row>
    <row r="178">
      <c r="A178" s="23" t="s">
        <v>436</v>
      </c>
      <c r="B178" s="23" t="s">
        <v>35</v>
      </c>
      <c r="C178" s="24">
        <v>8.0</v>
      </c>
      <c r="D178" s="25" t="s">
        <v>437</v>
      </c>
      <c r="E178" s="25" t="s">
        <v>438</v>
      </c>
      <c r="F178" s="23" t="s">
        <v>21</v>
      </c>
      <c r="G178" s="23" t="s">
        <v>21</v>
      </c>
      <c r="H178" s="25" t="s">
        <v>439</v>
      </c>
      <c r="I178" s="23" t="s">
        <v>21</v>
      </c>
      <c r="J178" s="23" t="s">
        <v>22</v>
      </c>
      <c r="K178" s="23" t="s">
        <v>412</v>
      </c>
      <c r="L178" s="24">
        <v>24478.9</v>
      </c>
      <c r="M178" s="23" t="s">
        <v>21</v>
      </c>
      <c r="N178" s="24">
        <v>1.0</v>
      </c>
      <c r="O178" s="24">
        <v>0.0</v>
      </c>
      <c r="P178" s="24">
        <v>24500.0</v>
      </c>
    </row>
    <row r="179">
      <c r="A179" s="23" t="s">
        <v>440</v>
      </c>
      <c r="B179" s="23" t="s">
        <v>35</v>
      </c>
      <c r="C179" s="24">
        <v>12.0</v>
      </c>
      <c r="D179" s="25" t="s">
        <v>441</v>
      </c>
      <c r="E179" s="25" t="s">
        <v>442</v>
      </c>
      <c r="F179" s="23" t="s">
        <v>21</v>
      </c>
      <c r="G179" s="23" t="s">
        <v>21</v>
      </c>
      <c r="H179" s="25" t="s">
        <v>54</v>
      </c>
      <c r="I179" s="23" t="s">
        <v>21</v>
      </c>
      <c r="J179" s="23" t="s">
        <v>22</v>
      </c>
      <c r="K179" s="23" t="s">
        <v>417</v>
      </c>
      <c r="L179" s="24">
        <v>24471.45</v>
      </c>
      <c r="M179" s="23" t="s">
        <v>21</v>
      </c>
      <c r="N179" s="24">
        <v>1.0</v>
      </c>
      <c r="O179" s="24">
        <v>0.0</v>
      </c>
      <c r="P179" s="24">
        <v>24450.0</v>
      </c>
    </row>
    <row r="180">
      <c r="A180" s="23" t="s">
        <v>443</v>
      </c>
      <c r="B180" s="23" t="s">
        <v>35</v>
      </c>
      <c r="C180" s="24">
        <v>13.0</v>
      </c>
      <c r="D180" s="25" t="s">
        <v>444</v>
      </c>
      <c r="E180" s="25" t="s">
        <v>445</v>
      </c>
      <c r="F180" s="23" t="s">
        <v>21</v>
      </c>
      <c r="G180" s="23" t="s">
        <v>21</v>
      </c>
      <c r="H180" s="25" t="s">
        <v>446</v>
      </c>
      <c r="I180" s="23" t="s">
        <v>21</v>
      </c>
      <c r="J180" s="23" t="s">
        <v>22</v>
      </c>
      <c r="K180" s="23" t="s">
        <v>412</v>
      </c>
      <c r="L180" s="24">
        <v>24476.2</v>
      </c>
      <c r="M180" s="23" t="s">
        <v>21</v>
      </c>
      <c r="N180" s="24">
        <v>1.0</v>
      </c>
      <c r="O180" s="24">
        <v>0.0</v>
      </c>
      <c r="P180" s="24">
        <v>24500.0</v>
      </c>
    </row>
    <row r="181">
      <c r="A181" s="23" t="s">
        <v>447</v>
      </c>
      <c r="B181" s="23" t="s">
        <v>35</v>
      </c>
      <c r="C181" s="24">
        <v>3.0</v>
      </c>
      <c r="D181" s="25" t="s">
        <v>448</v>
      </c>
      <c r="E181" s="25" t="s">
        <v>449</v>
      </c>
      <c r="F181" s="23" t="s">
        <v>21</v>
      </c>
      <c r="G181" s="23" t="s">
        <v>21</v>
      </c>
      <c r="H181" s="25" t="s">
        <v>450</v>
      </c>
      <c r="I181" s="23" t="s">
        <v>21</v>
      </c>
      <c r="J181" s="23" t="s">
        <v>22</v>
      </c>
      <c r="K181" s="23" t="s">
        <v>412</v>
      </c>
      <c r="L181" s="24">
        <v>24482.85</v>
      </c>
      <c r="M181" s="23" t="s">
        <v>21</v>
      </c>
      <c r="N181" s="24">
        <v>1.0</v>
      </c>
      <c r="O181" s="24">
        <v>0.0</v>
      </c>
      <c r="P181" s="24">
        <v>24500.0</v>
      </c>
    </row>
    <row r="182">
      <c r="A182" s="23" t="s">
        <v>451</v>
      </c>
      <c r="B182" s="23" t="s">
        <v>33</v>
      </c>
      <c r="C182" s="24">
        <v>-7.0</v>
      </c>
      <c r="D182" s="25" t="s">
        <v>452</v>
      </c>
      <c r="E182" s="25" t="s">
        <v>453</v>
      </c>
      <c r="F182" s="23" t="s">
        <v>21</v>
      </c>
      <c r="G182" s="23" t="s">
        <v>21</v>
      </c>
      <c r="H182" s="25" t="s">
        <v>331</v>
      </c>
      <c r="I182" s="23" t="s">
        <v>21</v>
      </c>
      <c r="J182" s="23" t="s">
        <v>22</v>
      </c>
      <c r="K182" s="23" t="s">
        <v>412</v>
      </c>
      <c r="L182" s="24">
        <v>24477.9</v>
      </c>
      <c r="M182" s="23" t="s">
        <v>21</v>
      </c>
      <c r="N182" s="24">
        <v>1.0</v>
      </c>
      <c r="O182" s="24">
        <v>0.0</v>
      </c>
      <c r="P182" s="24">
        <v>24500.0</v>
      </c>
    </row>
    <row r="183">
      <c r="A183" s="23" t="s">
        <v>454</v>
      </c>
      <c r="B183" s="23" t="s">
        <v>35</v>
      </c>
      <c r="C183" s="24">
        <v>17.0</v>
      </c>
      <c r="D183" s="25" t="s">
        <v>455</v>
      </c>
      <c r="E183" s="25" t="s">
        <v>456</v>
      </c>
      <c r="F183" s="23" t="s">
        <v>21</v>
      </c>
      <c r="G183" s="23" t="s">
        <v>21</v>
      </c>
      <c r="H183" s="25" t="s">
        <v>411</v>
      </c>
      <c r="I183" s="23" t="s">
        <v>21</v>
      </c>
      <c r="J183" s="23" t="s">
        <v>22</v>
      </c>
      <c r="K183" s="23" t="s">
        <v>457</v>
      </c>
      <c r="L183" s="24">
        <v>24455.3</v>
      </c>
      <c r="M183" s="23" t="s">
        <v>21</v>
      </c>
      <c r="N183" s="24">
        <v>1.0</v>
      </c>
      <c r="O183" s="24">
        <v>0.0</v>
      </c>
      <c r="P183" s="24">
        <v>24450.0</v>
      </c>
    </row>
    <row r="184">
      <c r="A184" s="23" t="s">
        <v>458</v>
      </c>
      <c r="B184" s="23" t="s">
        <v>35</v>
      </c>
      <c r="C184" s="24">
        <v>12.0</v>
      </c>
      <c r="D184" s="25" t="s">
        <v>459</v>
      </c>
      <c r="E184" s="25" t="s">
        <v>460</v>
      </c>
      <c r="F184" s="23" t="s">
        <v>21</v>
      </c>
      <c r="G184" s="23" t="s">
        <v>21</v>
      </c>
      <c r="H184" s="25" t="s">
        <v>461</v>
      </c>
      <c r="I184" s="23" t="s">
        <v>21</v>
      </c>
      <c r="J184" s="23" t="s">
        <v>22</v>
      </c>
      <c r="K184" s="23" t="s">
        <v>417</v>
      </c>
      <c r="L184" s="24">
        <v>24442.35</v>
      </c>
      <c r="M184" s="23" t="s">
        <v>21</v>
      </c>
      <c r="N184" s="24">
        <v>1.0</v>
      </c>
      <c r="O184" s="24">
        <v>0.0</v>
      </c>
      <c r="P184" s="24">
        <v>24450.0</v>
      </c>
    </row>
    <row r="185">
      <c r="A185" s="23" t="s">
        <v>462</v>
      </c>
      <c r="B185" s="23" t="s">
        <v>35</v>
      </c>
      <c r="C185" s="24">
        <v>12.0</v>
      </c>
      <c r="D185" s="25" t="s">
        <v>463</v>
      </c>
      <c r="E185" s="25" t="s">
        <v>464</v>
      </c>
      <c r="F185" s="23" t="s">
        <v>21</v>
      </c>
      <c r="G185" s="23" t="s">
        <v>21</v>
      </c>
      <c r="H185" s="25" t="s">
        <v>465</v>
      </c>
      <c r="I185" s="23" t="s">
        <v>21</v>
      </c>
      <c r="J185" s="23" t="s">
        <v>22</v>
      </c>
      <c r="K185" s="23" t="s">
        <v>417</v>
      </c>
      <c r="L185" s="24">
        <v>24435.7</v>
      </c>
      <c r="M185" s="23" t="s">
        <v>21</v>
      </c>
      <c r="N185" s="24">
        <v>1.0</v>
      </c>
      <c r="O185" s="24">
        <v>0.0</v>
      </c>
      <c r="P185" s="24">
        <v>24450.0</v>
      </c>
    </row>
    <row r="186">
      <c r="A186" s="23" t="s">
        <v>466</v>
      </c>
      <c r="B186" s="23" t="s">
        <v>35</v>
      </c>
      <c r="C186" s="24">
        <v>22.0</v>
      </c>
      <c r="D186" s="25" t="s">
        <v>467</v>
      </c>
      <c r="E186" s="25" t="s">
        <v>468</v>
      </c>
      <c r="F186" s="23" t="s">
        <v>21</v>
      </c>
      <c r="G186" s="23" t="s">
        <v>21</v>
      </c>
      <c r="H186" s="25" t="s">
        <v>236</v>
      </c>
      <c r="I186" s="23" t="s">
        <v>21</v>
      </c>
      <c r="J186" s="23" t="s">
        <v>22</v>
      </c>
      <c r="K186" s="23" t="s">
        <v>417</v>
      </c>
      <c r="L186" s="24">
        <v>24435.65</v>
      </c>
      <c r="M186" s="23" t="s">
        <v>21</v>
      </c>
      <c r="N186" s="24">
        <v>1.0</v>
      </c>
      <c r="O186" s="24">
        <v>0.0</v>
      </c>
      <c r="P186" s="24">
        <v>24450.0</v>
      </c>
    </row>
    <row r="187">
      <c r="A187" s="23" t="s">
        <v>469</v>
      </c>
      <c r="B187" s="23" t="s">
        <v>33</v>
      </c>
      <c r="C187" s="24">
        <v>-2.0</v>
      </c>
      <c r="D187" s="25" t="s">
        <v>470</v>
      </c>
      <c r="E187" s="25" t="s">
        <v>471</v>
      </c>
      <c r="F187" s="23" t="s">
        <v>21</v>
      </c>
      <c r="G187" s="23" t="s">
        <v>21</v>
      </c>
      <c r="H187" s="25" t="s">
        <v>472</v>
      </c>
      <c r="I187" s="23" t="s">
        <v>21</v>
      </c>
      <c r="J187" s="23" t="s">
        <v>22</v>
      </c>
      <c r="K187" s="23" t="s">
        <v>412</v>
      </c>
      <c r="L187" s="24">
        <v>24416.4</v>
      </c>
      <c r="M187" s="23" t="s">
        <v>21</v>
      </c>
      <c r="N187" s="24">
        <v>1.0</v>
      </c>
      <c r="O187" s="24">
        <v>0.0</v>
      </c>
      <c r="P187" s="24">
        <v>24400.0</v>
      </c>
    </row>
    <row r="188">
      <c r="A188" s="23" t="s">
        <v>473</v>
      </c>
      <c r="B188" s="23" t="s">
        <v>35</v>
      </c>
      <c r="C188" s="24">
        <v>12.0</v>
      </c>
      <c r="D188" s="25" t="s">
        <v>474</v>
      </c>
      <c r="E188" s="25" t="s">
        <v>475</v>
      </c>
      <c r="F188" s="23" t="s">
        <v>21</v>
      </c>
      <c r="G188" s="23" t="s">
        <v>21</v>
      </c>
      <c r="H188" s="25" t="s">
        <v>215</v>
      </c>
      <c r="I188" s="23" t="s">
        <v>21</v>
      </c>
      <c r="J188" s="23" t="s">
        <v>22</v>
      </c>
      <c r="K188" s="23" t="s">
        <v>417</v>
      </c>
      <c r="L188" s="24">
        <v>24416.25</v>
      </c>
      <c r="M188" s="23" t="s">
        <v>21</v>
      </c>
      <c r="N188" s="24">
        <v>1.0</v>
      </c>
      <c r="O188" s="24">
        <v>0.0</v>
      </c>
      <c r="P188" s="24">
        <v>24400.0</v>
      </c>
    </row>
    <row r="189">
      <c r="A189" s="23" t="s">
        <v>476</v>
      </c>
      <c r="B189" s="23" t="s">
        <v>35</v>
      </c>
      <c r="C189" s="24">
        <v>17.0</v>
      </c>
      <c r="D189" s="25" t="s">
        <v>477</v>
      </c>
      <c r="E189" s="25" t="s">
        <v>478</v>
      </c>
      <c r="F189" s="23" t="s">
        <v>21</v>
      </c>
      <c r="G189" s="23" t="s">
        <v>21</v>
      </c>
      <c r="H189" s="25" t="s">
        <v>215</v>
      </c>
      <c r="I189" s="23" t="s">
        <v>21</v>
      </c>
      <c r="J189" s="23" t="s">
        <v>22</v>
      </c>
      <c r="K189" s="23" t="s">
        <v>417</v>
      </c>
      <c r="L189" s="24">
        <v>24428.15</v>
      </c>
      <c r="M189" s="23" t="s">
        <v>21</v>
      </c>
      <c r="N189" s="24">
        <v>1.0</v>
      </c>
      <c r="O189" s="24">
        <v>0.0</v>
      </c>
      <c r="P189" s="24">
        <v>24450.0</v>
      </c>
    </row>
    <row r="190">
      <c r="A190" s="23" t="s">
        <v>479</v>
      </c>
      <c r="B190" s="23" t="s">
        <v>33</v>
      </c>
      <c r="C190" s="24">
        <v>-2.0</v>
      </c>
      <c r="D190" s="25" t="s">
        <v>480</v>
      </c>
      <c r="E190" s="25" t="s">
        <v>481</v>
      </c>
      <c r="F190" s="23" t="s">
        <v>21</v>
      </c>
      <c r="G190" s="23" t="s">
        <v>21</v>
      </c>
      <c r="H190" s="25" t="s">
        <v>190</v>
      </c>
      <c r="I190" s="23" t="s">
        <v>21</v>
      </c>
      <c r="J190" s="23" t="s">
        <v>22</v>
      </c>
      <c r="K190" s="23" t="s">
        <v>412</v>
      </c>
      <c r="L190" s="24">
        <v>24407.6</v>
      </c>
      <c r="M190" s="23" t="s">
        <v>21</v>
      </c>
      <c r="N190" s="24">
        <v>1.0</v>
      </c>
      <c r="O190" s="24">
        <v>0.0</v>
      </c>
      <c r="P190" s="24">
        <v>24400.0</v>
      </c>
    </row>
    <row r="191">
      <c r="A191" s="23" t="s">
        <v>482</v>
      </c>
      <c r="B191" s="23" t="s">
        <v>35</v>
      </c>
      <c r="C191" s="24">
        <v>10.0</v>
      </c>
      <c r="D191" s="25" t="s">
        <v>483</v>
      </c>
      <c r="E191" s="25" t="s">
        <v>484</v>
      </c>
      <c r="F191" s="23" t="s">
        <v>21</v>
      </c>
      <c r="G191" s="23" t="s">
        <v>21</v>
      </c>
      <c r="H191" s="25" t="s">
        <v>485</v>
      </c>
      <c r="I191" s="23" t="s">
        <v>21</v>
      </c>
      <c r="J191" s="23" t="s">
        <v>22</v>
      </c>
      <c r="K191" s="23" t="s">
        <v>486</v>
      </c>
      <c r="L191" s="24">
        <v>24409.65</v>
      </c>
      <c r="M191" s="23" t="s">
        <v>21</v>
      </c>
      <c r="N191" s="24">
        <v>1.0</v>
      </c>
      <c r="O191" s="24">
        <v>0.0</v>
      </c>
      <c r="P191" s="24">
        <v>24400.0</v>
      </c>
    </row>
    <row r="192">
      <c r="A192" s="23" t="s">
        <v>487</v>
      </c>
      <c r="B192" s="23" t="s">
        <v>35</v>
      </c>
      <c r="C192" s="24">
        <v>17.0</v>
      </c>
      <c r="D192" s="25" t="s">
        <v>488</v>
      </c>
      <c r="E192" s="25" t="s">
        <v>489</v>
      </c>
      <c r="F192" s="23" t="s">
        <v>21</v>
      </c>
      <c r="G192" s="23" t="s">
        <v>21</v>
      </c>
      <c r="H192" s="25" t="s">
        <v>183</v>
      </c>
      <c r="I192" s="23" t="s">
        <v>21</v>
      </c>
      <c r="J192" s="23" t="s">
        <v>22</v>
      </c>
      <c r="K192" s="23" t="s">
        <v>417</v>
      </c>
      <c r="L192" s="24">
        <v>24412.25</v>
      </c>
      <c r="M192" s="23" t="s">
        <v>21</v>
      </c>
      <c r="N192" s="24">
        <v>1.0</v>
      </c>
      <c r="O192" s="24">
        <v>0.0</v>
      </c>
      <c r="P192" s="24">
        <v>24400.0</v>
      </c>
    </row>
    <row r="193">
      <c r="A193" s="23" t="s">
        <v>490</v>
      </c>
      <c r="B193" s="23" t="s">
        <v>35</v>
      </c>
      <c r="C193" s="24">
        <v>3.0</v>
      </c>
      <c r="D193" s="25" t="s">
        <v>491</v>
      </c>
      <c r="E193" s="25" t="s">
        <v>492</v>
      </c>
      <c r="F193" s="23" t="s">
        <v>21</v>
      </c>
      <c r="G193" s="23" t="s">
        <v>21</v>
      </c>
      <c r="H193" s="25" t="s">
        <v>194</v>
      </c>
      <c r="I193" s="23" t="s">
        <v>21</v>
      </c>
      <c r="J193" s="23" t="s">
        <v>22</v>
      </c>
      <c r="K193" s="23" t="s">
        <v>412</v>
      </c>
      <c r="L193" s="24">
        <v>24422.7</v>
      </c>
      <c r="M193" s="23" t="s">
        <v>21</v>
      </c>
      <c r="N193" s="24">
        <v>1.0</v>
      </c>
      <c r="O193" s="24">
        <v>0.0</v>
      </c>
      <c r="P193" s="24">
        <v>24400.0</v>
      </c>
    </row>
    <row r="194">
      <c r="A194" s="23" t="s">
        <v>493</v>
      </c>
      <c r="B194" s="23" t="s">
        <v>35</v>
      </c>
      <c r="C194" s="24">
        <v>17.0</v>
      </c>
      <c r="D194" s="25" t="s">
        <v>494</v>
      </c>
      <c r="E194" s="25" t="s">
        <v>495</v>
      </c>
      <c r="F194" s="23" t="s">
        <v>21</v>
      </c>
      <c r="G194" s="23" t="s">
        <v>21</v>
      </c>
      <c r="H194" s="25" t="s">
        <v>205</v>
      </c>
      <c r="I194" s="23" t="s">
        <v>21</v>
      </c>
      <c r="J194" s="23" t="s">
        <v>22</v>
      </c>
      <c r="K194" s="23" t="s">
        <v>417</v>
      </c>
      <c r="L194" s="24">
        <v>24428.5</v>
      </c>
      <c r="M194" s="23" t="s">
        <v>21</v>
      </c>
      <c r="N194" s="24">
        <v>1.0</v>
      </c>
      <c r="O194" s="24">
        <v>0.0</v>
      </c>
      <c r="P194" s="24">
        <v>24450.0</v>
      </c>
    </row>
    <row r="195">
      <c r="A195" s="23" t="s">
        <v>496</v>
      </c>
      <c r="B195" s="23" t="s">
        <v>35</v>
      </c>
      <c r="C195" s="24">
        <v>17.0</v>
      </c>
      <c r="D195" s="25" t="s">
        <v>497</v>
      </c>
      <c r="E195" s="25" t="s">
        <v>498</v>
      </c>
      <c r="F195" s="23" t="s">
        <v>21</v>
      </c>
      <c r="G195" s="23" t="s">
        <v>21</v>
      </c>
      <c r="H195" s="25" t="s">
        <v>205</v>
      </c>
      <c r="I195" s="23" t="s">
        <v>21</v>
      </c>
      <c r="J195" s="23" t="s">
        <v>22</v>
      </c>
      <c r="K195" s="23" t="s">
        <v>417</v>
      </c>
      <c r="L195" s="24">
        <v>24426.3</v>
      </c>
      <c r="M195" s="23" t="s">
        <v>21</v>
      </c>
      <c r="N195" s="24">
        <v>1.0</v>
      </c>
      <c r="O195" s="24">
        <v>0.0</v>
      </c>
      <c r="P195" s="24">
        <v>24450.0</v>
      </c>
    </row>
    <row r="196">
      <c r="A196" s="23" t="s">
        <v>499</v>
      </c>
      <c r="B196" s="23" t="s">
        <v>35</v>
      </c>
      <c r="C196" s="24">
        <v>7.0</v>
      </c>
      <c r="D196" s="25" t="s">
        <v>500</v>
      </c>
      <c r="E196" s="25" t="s">
        <v>501</v>
      </c>
      <c r="F196" s="23" t="s">
        <v>21</v>
      </c>
      <c r="G196" s="23" t="s">
        <v>21</v>
      </c>
      <c r="H196" s="25" t="s">
        <v>205</v>
      </c>
      <c r="I196" s="23" t="s">
        <v>21</v>
      </c>
      <c r="J196" s="23" t="s">
        <v>22</v>
      </c>
      <c r="K196" s="23" t="s">
        <v>417</v>
      </c>
      <c r="L196" s="24">
        <v>24420.6</v>
      </c>
      <c r="M196" s="23" t="s">
        <v>21</v>
      </c>
      <c r="N196" s="24">
        <v>1.0</v>
      </c>
      <c r="O196" s="24">
        <v>0.0</v>
      </c>
      <c r="P196" s="24">
        <v>24400.0</v>
      </c>
    </row>
    <row r="197">
      <c r="A197" s="23" t="s">
        <v>502</v>
      </c>
      <c r="B197" s="23" t="s">
        <v>35</v>
      </c>
      <c r="C197" s="24">
        <v>2.0</v>
      </c>
      <c r="D197" s="25" t="s">
        <v>503</v>
      </c>
      <c r="E197" s="25" t="s">
        <v>504</v>
      </c>
      <c r="F197" s="23" t="s">
        <v>21</v>
      </c>
      <c r="G197" s="23" t="s">
        <v>21</v>
      </c>
      <c r="H197" s="25" t="s">
        <v>465</v>
      </c>
      <c r="I197" s="23" t="s">
        <v>21</v>
      </c>
      <c r="J197" s="23" t="s">
        <v>22</v>
      </c>
      <c r="K197" s="23" t="s">
        <v>417</v>
      </c>
      <c r="L197" s="24">
        <v>24437.55</v>
      </c>
      <c r="M197" s="23" t="s">
        <v>21</v>
      </c>
      <c r="N197" s="24">
        <v>1.0</v>
      </c>
      <c r="O197" s="24">
        <v>0.0</v>
      </c>
      <c r="P197" s="24">
        <v>24450.0</v>
      </c>
    </row>
    <row r="198">
      <c r="A198" s="23" t="s">
        <v>505</v>
      </c>
      <c r="B198" s="23" t="s">
        <v>35</v>
      </c>
      <c r="C198" s="24">
        <v>2.0</v>
      </c>
      <c r="D198" s="25" t="s">
        <v>506</v>
      </c>
      <c r="E198" s="25" t="s">
        <v>507</v>
      </c>
      <c r="F198" s="23" t="s">
        <v>21</v>
      </c>
      <c r="G198" s="23" t="s">
        <v>21</v>
      </c>
      <c r="H198" s="25" t="s">
        <v>219</v>
      </c>
      <c r="I198" s="23" t="s">
        <v>21</v>
      </c>
      <c r="J198" s="23" t="s">
        <v>22</v>
      </c>
      <c r="K198" s="23" t="s">
        <v>417</v>
      </c>
      <c r="L198" s="24">
        <v>24422.8</v>
      </c>
      <c r="M198" s="23" t="s">
        <v>21</v>
      </c>
      <c r="N198" s="24">
        <v>1.0</v>
      </c>
      <c r="O198" s="24">
        <v>0.0</v>
      </c>
      <c r="P198" s="24">
        <v>24400.0</v>
      </c>
    </row>
    <row r="199">
      <c r="A199" s="23" t="s">
        <v>508</v>
      </c>
      <c r="B199" s="23" t="s">
        <v>33</v>
      </c>
      <c r="C199" s="24">
        <v>-2.0</v>
      </c>
      <c r="D199" s="25" t="s">
        <v>509</v>
      </c>
      <c r="E199" s="25" t="s">
        <v>510</v>
      </c>
      <c r="F199" s="23" t="s">
        <v>21</v>
      </c>
      <c r="G199" s="23" t="s">
        <v>21</v>
      </c>
      <c r="H199" s="25" t="s">
        <v>219</v>
      </c>
      <c r="I199" s="23" t="s">
        <v>21</v>
      </c>
      <c r="J199" s="23" t="s">
        <v>22</v>
      </c>
      <c r="K199" s="23" t="s">
        <v>412</v>
      </c>
      <c r="L199" s="24">
        <v>24422.55</v>
      </c>
      <c r="M199" s="23" t="s">
        <v>21</v>
      </c>
      <c r="N199" s="24">
        <v>1.0</v>
      </c>
      <c r="O199" s="24">
        <v>0.0</v>
      </c>
      <c r="P199" s="24">
        <v>24400.0</v>
      </c>
    </row>
    <row r="200">
      <c r="A200" s="23" t="s">
        <v>511</v>
      </c>
      <c r="B200" s="23" t="s">
        <v>33</v>
      </c>
      <c r="C200" s="24">
        <v>-12.0</v>
      </c>
      <c r="D200" s="25" t="s">
        <v>512</v>
      </c>
      <c r="E200" s="25" t="s">
        <v>513</v>
      </c>
      <c r="F200" s="23" t="s">
        <v>21</v>
      </c>
      <c r="G200" s="23" t="s">
        <v>21</v>
      </c>
      <c r="H200" s="25" t="s">
        <v>236</v>
      </c>
      <c r="I200" s="23" t="s">
        <v>21</v>
      </c>
      <c r="J200" s="23" t="s">
        <v>22</v>
      </c>
      <c r="K200" s="23" t="s">
        <v>412</v>
      </c>
      <c r="L200" s="24">
        <v>24424.9</v>
      </c>
      <c r="M200" s="23" t="s">
        <v>21</v>
      </c>
      <c r="N200" s="24">
        <v>1.0</v>
      </c>
      <c r="O200" s="24">
        <v>0.0</v>
      </c>
      <c r="P200" s="24">
        <v>24400.0</v>
      </c>
    </row>
    <row r="201">
      <c r="A201" s="23" t="s">
        <v>514</v>
      </c>
      <c r="B201" s="23" t="s">
        <v>33</v>
      </c>
      <c r="C201" s="24">
        <v>-12.0</v>
      </c>
      <c r="D201" s="25" t="s">
        <v>515</v>
      </c>
      <c r="E201" s="25" t="s">
        <v>516</v>
      </c>
      <c r="F201" s="23" t="s">
        <v>21</v>
      </c>
      <c r="G201" s="23" t="s">
        <v>21</v>
      </c>
      <c r="H201" s="25" t="s">
        <v>465</v>
      </c>
      <c r="I201" s="23" t="s">
        <v>21</v>
      </c>
      <c r="J201" s="23" t="s">
        <v>22</v>
      </c>
      <c r="K201" s="23" t="s">
        <v>412</v>
      </c>
      <c r="L201" s="24">
        <v>24428.75</v>
      </c>
      <c r="M201" s="23" t="s">
        <v>21</v>
      </c>
      <c r="N201" s="24">
        <v>1.0</v>
      </c>
      <c r="O201" s="24">
        <v>0.0</v>
      </c>
      <c r="P201" s="24">
        <v>24450.0</v>
      </c>
    </row>
    <row r="202">
      <c r="A202" s="23" t="s">
        <v>517</v>
      </c>
      <c r="B202" s="23" t="s">
        <v>35</v>
      </c>
      <c r="C202" s="24">
        <v>12.0</v>
      </c>
      <c r="D202" s="25" t="s">
        <v>518</v>
      </c>
      <c r="E202" s="25" t="s">
        <v>519</v>
      </c>
      <c r="F202" s="23" t="s">
        <v>21</v>
      </c>
      <c r="G202" s="23" t="s">
        <v>21</v>
      </c>
      <c r="H202" s="25" t="s">
        <v>254</v>
      </c>
      <c r="I202" s="23" t="s">
        <v>21</v>
      </c>
      <c r="J202" s="23" t="s">
        <v>22</v>
      </c>
      <c r="K202" s="23" t="s">
        <v>417</v>
      </c>
      <c r="L202" s="24">
        <v>24434.05</v>
      </c>
      <c r="M202" s="23" t="s">
        <v>21</v>
      </c>
      <c r="N202" s="24">
        <v>1.0</v>
      </c>
      <c r="O202" s="24">
        <v>0.0</v>
      </c>
      <c r="P202" s="24">
        <v>24450.0</v>
      </c>
    </row>
    <row r="203">
      <c r="A203" s="23" t="s">
        <v>520</v>
      </c>
      <c r="B203" s="23" t="s">
        <v>33</v>
      </c>
      <c r="C203" s="24">
        <v>-7.0</v>
      </c>
      <c r="D203" s="25" t="s">
        <v>521</v>
      </c>
      <c r="E203" s="25" t="s">
        <v>522</v>
      </c>
      <c r="F203" s="23" t="s">
        <v>21</v>
      </c>
      <c r="G203" s="23" t="s">
        <v>21</v>
      </c>
      <c r="H203" s="25" t="s">
        <v>243</v>
      </c>
      <c r="I203" s="23" t="s">
        <v>21</v>
      </c>
      <c r="J203" s="23" t="s">
        <v>22</v>
      </c>
      <c r="K203" s="23" t="s">
        <v>412</v>
      </c>
      <c r="L203" s="24">
        <v>24427.15</v>
      </c>
      <c r="M203" s="23" t="s">
        <v>21</v>
      </c>
      <c r="N203" s="24">
        <v>1.0</v>
      </c>
      <c r="O203" s="24">
        <v>0.0</v>
      </c>
      <c r="P203" s="24">
        <v>24450.0</v>
      </c>
    </row>
    <row r="204">
      <c r="A204" s="26" t="s">
        <v>523</v>
      </c>
      <c r="B204" s="26" t="s">
        <v>35</v>
      </c>
      <c r="C204" s="27">
        <v>32.0</v>
      </c>
      <c r="D204" s="28" t="s">
        <v>524</v>
      </c>
      <c r="E204" s="28" t="s">
        <v>525</v>
      </c>
      <c r="F204" s="26" t="s">
        <v>21</v>
      </c>
      <c r="G204" s="26" t="s">
        <v>21</v>
      </c>
      <c r="H204" s="28" t="s">
        <v>307</v>
      </c>
      <c r="I204" s="26" t="s">
        <v>21</v>
      </c>
      <c r="J204" s="26" t="s">
        <v>22</v>
      </c>
      <c r="K204" s="26" t="s">
        <v>417</v>
      </c>
      <c r="L204" s="27">
        <v>24444.1</v>
      </c>
      <c r="M204" s="26" t="s">
        <v>21</v>
      </c>
      <c r="N204" s="27">
        <v>1.0</v>
      </c>
      <c r="O204" s="27">
        <v>0.0</v>
      </c>
      <c r="P204" s="27">
        <v>24450.0</v>
      </c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>
      <c r="A205" s="23" t="s">
        <v>526</v>
      </c>
      <c r="B205" s="23" t="s">
        <v>35</v>
      </c>
      <c r="C205" s="24">
        <v>18.0</v>
      </c>
      <c r="D205" s="25" t="s">
        <v>527</v>
      </c>
      <c r="E205" s="25" t="s">
        <v>528</v>
      </c>
      <c r="F205" s="23" t="s">
        <v>21</v>
      </c>
      <c r="G205" s="23" t="s">
        <v>21</v>
      </c>
      <c r="H205" s="25" t="s">
        <v>307</v>
      </c>
      <c r="I205" s="23" t="s">
        <v>21</v>
      </c>
      <c r="J205" s="23" t="s">
        <v>22</v>
      </c>
      <c r="K205" s="23" t="s">
        <v>412</v>
      </c>
      <c r="L205" s="24">
        <v>24439.2</v>
      </c>
      <c r="M205" s="23" t="s">
        <v>21</v>
      </c>
      <c r="N205" s="24">
        <v>1.0</v>
      </c>
      <c r="O205" s="24">
        <v>0.0</v>
      </c>
      <c r="P205" s="24">
        <v>24450.0</v>
      </c>
    </row>
    <row r="206">
      <c r="A206" s="23" t="s">
        <v>529</v>
      </c>
      <c r="B206" s="23" t="s">
        <v>33</v>
      </c>
      <c r="C206" s="24">
        <v>-7.0</v>
      </c>
      <c r="D206" s="25" t="s">
        <v>530</v>
      </c>
      <c r="E206" s="25" t="s">
        <v>531</v>
      </c>
      <c r="F206" s="23" t="s">
        <v>21</v>
      </c>
      <c r="G206" s="23" t="s">
        <v>21</v>
      </c>
      <c r="H206" s="25" t="s">
        <v>254</v>
      </c>
      <c r="I206" s="23" t="s">
        <v>21</v>
      </c>
      <c r="J206" s="23" t="s">
        <v>22</v>
      </c>
      <c r="K206" s="23" t="s">
        <v>412</v>
      </c>
      <c r="L206" s="24">
        <v>24436.5</v>
      </c>
      <c r="M206" s="23" t="s">
        <v>21</v>
      </c>
      <c r="N206" s="24">
        <v>1.0</v>
      </c>
      <c r="O206" s="24">
        <v>0.0</v>
      </c>
      <c r="P206" s="24">
        <v>24450.0</v>
      </c>
    </row>
    <row r="207">
      <c r="A207" s="23" t="s">
        <v>532</v>
      </c>
      <c r="B207" s="23" t="s">
        <v>35</v>
      </c>
      <c r="C207" s="24">
        <v>7.0</v>
      </c>
      <c r="D207" s="25" t="s">
        <v>533</v>
      </c>
      <c r="E207" s="25" t="s">
        <v>534</v>
      </c>
      <c r="F207" s="23" t="s">
        <v>21</v>
      </c>
      <c r="G207" s="23" t="s">
        <v>21</v>
      </c>
      <c r="H207" s="25" t="s">
        <v>446</v>
      </c>
      <c r="I207" s="23" t="s">
        <v>21</v>
      </c>
      <c r="J207" s="23" t="s">
        <v>22</v>
      </c>
      <c r="K207" s="23" t="s">
        <v>417</v>
      </c>
      <c r="L207" s="24">
        <v>24436.5</v>
      </c>
      <c r="M207" s="23" t="s">
        <v>21</v>
      </c>
      <c r="N207" s="24">
        <v>1.0</v>
      </c>
      <c r="O207" s="24">
        <v>0.0</v>
      </c>
      <c r="P207" s="24">
        <v>24450.0</v>
      </c>
    </row>
    <row r="208">
      <c r="A208" s="23" t="s">
        <v>535</v>
      </c>
      <c r="B208" s="23" t="s">
        <v>33</v>
      </c>
      <c r="C208" s="24">
        <v>-5.0</v>
      </c>
      <c r="D208" s="25" t="s">
        <v>536</v>
      </c>
      <c r="E208" s="25" t="s">
        <v>537</v>
      </c>
      <c r="F208" s="23" t="s">
        <v>21</v>
      </c>
      <c r="G208" s="23" t="s">
        <v>21</v>
      </c>
      <c r="H208" s="25" t="s">
        <v>247</v>
      </c>
      <c r="I208" s="23" t="s">
        <v>21</v>
      </c>
      <c r="J208" s="23" t="s">
        <v>22</v>
      </c>
      <c r="K208" s="23" t="s">
        <v>486</v>
      </c>
      <c r="L208" s="24">
        <v>24429.4</v>
      </c>
      <c r="M208" s="23" t="s">
        <v>21</v>
      </c>
      <c r="N208" s="24">
        <v>1.0</v>
      </c>
      <c r="O208" s="24">
        <v>0.0</v>
      </c>
      <c r="P208" s="24">
        <v>24450.0</v>
      </c>
    </row>
    <row r="209">
      <c r="A209" s="23" t="s">
        <v>538</v>
      </c>
      <c r="B209" s="23" t="s">
        <v>35</v>
      </c>
      <c r="C209" s="24">
        <v>18.0</v>
      </c>
      <c r="D209" s="25" t="s">
        <v>539</v>
      </c>
      <c r="E209" s="25" t="s">
        <v>540</v>
      </c>
      <c r="F209" s="23" t="s">
        <v>21</v>
      </c>
      <c r="G209" s="23" t="s">
        <v>21</v>
      </c>
      <c r="H209" s="25" t="s">
        <v>307</v>
      </c>
      <c r="I209" s="23" t="s">
        <v>21</v>
      </c>
      <c r="J209" s="23" t="s">
        <v>22</v>
      </c>
      <c r="K209" s="23" t="s">
        <v>412</v>
      </c>
      <c r="L209" s="24">
        <v>24445.3</v>
      </c>
      <c r="M209" s="23" t="s">
        <v>21</v>
      </c>
      <c r="N209" s="24">
        <v>1.0</v>
      </c>
      <c r="O209" s="24">
        <v>0.0</v>
      </c>
      <c r="P209" s="24">
        <v>24450.0</v>
      </c>
    </row>
    <row r="210">
      <c r="A210" s="23" t="s">
        <v>541</v>
      </c>
      <c r="B210" s="23" t="s">
        <v>33</v>
      </c>
      <c r="C210" s="24">
        <v>-12.0</v>
      </c>
      <c r="D210" s="25" t="s">
        <v>542</v>
      </c>
      <c r="E210" s="25" t="s">
        <v>543</v>
      </c>
      <c r="F210" s="23" t="s">
        <v>21</v>
      </c>
      <c r="G210" s="23" t="s">
        <v>21</v>
      </c>
      <c r="H210" s="25" t="s">
        <v>54</v>
      </c>
      <c r="I210" s="23" t="s">
        <v>21</v>
      </c>
      <c r="J210" s="23" t="s">
        <v>22</v>
      </c>
      <c r="K210" s="23" t="s">
        <v>412</v>
      </c>
      <c r="L210" s="24">
        <v>24432.5</v>
      </c>
      <c r="M210" s="23" t="s">
        <v>21</v>
      </c>
      <c r="N210" s="24">
        <v>1.0</v>
      </c>
      <c r="O210" s="24">
        <v>0.0</v>
      </c>
      <c r="P210" s="24">
        <v>24450.0</v>
      </c>
    </row>
    <row r="211">
      <c r="A211" s="23" t="s">
        <v>544</v>
      </c>
      <c r="B211" s="23" t="s">
        <v>33</v>
      </c>
      <c r="C211" s="24">
        <v>-12.0</v>
      </c>
      <c r="D211" s="25" t="s">
        <v>545</v>
      </c>
      <c r="E211" s="25" t="s">
        <v>546</v>
      </c>
      <c r="F211" s="23" t="s">
        <v>21</v>
      </c>
      <c r="G211" s="23" t="s">
        <v>21</v>
      </c>
      <c r="H211" s="25" t="s">
        <v>547</v>
      </c>
      <c r="I211" s="23" t="s">
        <v>21</v>
      </c>
      <c r="J211" s="23" t="s">
        <v>22</v>
      </c>
      <c r="K211" s="23" t="s">
        <v>412</v>
      </c>
      <c r="L211" s="24">
        <v>24424.3</v>
      </c>
      <c r="M211" s="23" t="s">
        <v>21</v>
      </c>
      <c r="N211" s="24">
        <v>1.0</v>
      </c>
      <c r="O211" s="24">
        <v>0.0</v>
      </c>
      <c r="P211" s="24">
        <v>24400.0</v>
      </c>
    </row>
    <row r="212">
      <c r="A212" s="23" t="s">
        <v>548</v>
      </c>
      <c r="B212" s="23" t="s">
        <v>33</v>
      </c>
      <c r="C212" s="24">
        <v>-12.0</v>
      </c>
      <c r="D212" s="25" t="s">
        <v>549</v>
      </c>
      <c r="E212" s="25" t="s">
        <v>550</v>
      </c>
      <c r="F212" s="23" t="s">
        <v>21</v>
      </c>
      <c r="G212" s="23" t="s">
        <v>21</v>
      </c>
      <c r="H212" s="25" t="s">
        <v>551</v>
      </c>
      <c r="I212" s="23" t="s">
        <v>21</v>
      </c>
      <c r="J212" s="23" t="s">
        <v>22</v>
      </c>
      <c r="K212" s="23" t="s">
        <v>412</v>
      </c>
      <c r="L212" s="24">
        <v>24430.45</v>
      </c>
      <c r="M212" s="23" t="s">
        <v>21</v>
      </c>
      <c r="N212" s="24">
        <v>1.0</v>
      </c>
      <c r="O212" s="24">
        <v>0.0</v>
      </c>
      <c r="P212" s="24">
        <v>24450.0</v>
      </c>
    </row>
    <row r="213">
      <c r="A213" s="23" t="s">
        <v>552</v>
      </c>
      <c r="B213" s="23" t="s">
        <v>35</v>
      </c>
      <c r="C213" s="24">
        <v>8.0</v>
      </c>
      <c r="D213" s="25" t="s">
        <v>553</v>
      </c>
      <c r="E213" s="25" t="s">
        <v>554</v>
      </c>
      <c r="F213" s="23" t="s">
        <v>21</v>
      </c>
      <c r="G213" s="23" t="s">
        <v>21</v>
      </c>
      <c r="H213" s="25" t="s">
        <v>547</v>
      </c>
      <c r="I213" s="23" t="s">
        <v>21</v>
      </c>
      <c r="J213" s="23" t="s">
        <v>22</v>
      </c>
      <c r="K213" s="23" t="s">
        <v>412</v>
      </c>
      <c r="L213" s="24">
        <v>24437.9</v>
      </c>
      <c r="M213" s="23" t="s">
        <v>21</v>
      </c>
      <c r="N213" s="24">
        <v>1.0</v>
      </c>
      <c r="O213" s="24">
        <v>0.0</v>
      </c>
      <c r="P213" s="24">
        <v>24450.0</v>
      </c>
    </row>
    <row r="214">
      <c r="A214" s="23" t="s">
        <v>555</v>
      </c>
      <c r="B214" s="23" t="s">
        <v>33</v>
      </c>
      <c r="C214" s="24">
        <v>-12.0</v>
      </c>
      <c r="D214" s="25" t="s">
        <v>556</v>
      </c>
      <c r="E214" s="25" t="s">
        <v>557</v>
      </c>
      <c r="F214" s="23" t="s">
        <v>21</v>
      </c>
      <c r="G214" s="23" t="s">
        <v>21</v>
      </c>
      <c r="H214" s="25" t="s">
        <v>547</v>
      </c>
      <c r="I214" s="23" t="s">
        <v>21</v>
      </c>
      <c r="J214" s="23" t="s">
        <v>22</v>
      </c>
      <c r="K214" s="23" t="s">
        <v>412</v>
      </c>
      <c r="L214" s="24">
        <v>24434.55</v>
      </c>
      <c r="M214" s="23" t="s">
        <v>21</v>
      </c>
      <c r="N214" s="24">
        <v>1.0</v>
      </c>
      <c r="O214" s="24">
        <v>0.0</v>
      </c>
      <c r="P214" s="24">
        <v>24450.0</v>
      </c>
    </row>
    <row r="215">
      <c r="A215" s="26" t="s">
        <v>558</v>
      </c>
      <c r="B215" s="26" t="s">
        <v>33</v>
      </c>
      <c r="C215" s="27">
        <v>-27.0</v>
      </c>
      <c r="D215" s="28" t="s">
        <v>559</v>
      </c>
      <c r="E215" s="28" t="s">
        <v>560</v>
      </c>
      <c r="F215" s="26" t="s">
        <v>21</v>
      </c>
      <c r="G215" s="26" t="s">
        <v>21</v>
      </c>
      <c r="H215" s="28" t="s">
        <v>465</v>
      </c>
      <c r="I215" s="26" t="s">
        <v>21</v>
      </c>
      <c r="J215" s="26" t="s">
        <v>22</v>
      </c>
      <c r="K215" s="26" t="s">
        <v>412</v>
      </c>
      <c r="L215" s="27">
        <v>24409.55</v>
      </c>
      <c r="M215" s="26" t="s">
        <v>21</v>
      </c>
      <c r="N215" s="27">
        <v>1.0</v>
      </c>
      <c r="O215" s="27">
        <v>0.0</v>
      </c>
      <c r="P215" s="27">
        <v>24400.0</v>
      </c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>
      <c r="A216" s="23" t="s">
        <v>561</v>
      </c>
      <c r="B216" s="23" t="s">
        <v>33</v>
      </c>
      <c r="C216" s="24">
        <v>-8.0</v>
      </c>
      <c r="D216" s="25" t="s">
        <v>562</v>
      </c>
      <c r="E216" s="25" t="s">
        <v>563</v>
      </c>
      <c r="F216" s="23" t="s">
        <v>21</v>
      </c>
      <c r="G216" s="23" t="s">
        <v>21</v>
      </c>
      <c r="H216" s="25" t="s">
        <v>564</v>
      </c>
      <c r="I216" s="23" t="s">
        <v>21</v>
      </c>
      <c r="J216" s="23" t="s">
        <v>22</v>
      </c>
      <c r="K216" s="23" t="s">
        <v>417</v>
      </c>
      <c r="L216" s="24">
        <v>24402.3</v>
      </c>
      <c r="M216" s="23" t="s">
        <v>21</v>
      </c>
      <c r="N216" s="24">
        <v>1.0</v>
      </c>
      <c r="O216" s="24">
        <v>0.0</v>
      </c>
      <c r="P216" s="24">
        <v>24400.0</v>
      </c>
    </row>
    <row r="217">
      <c r="A217" s="23" t="s">
        <v>565</v>
      </c>
      <c r="B217" s="23" t="s">
        <v>33</v>
      </c>
      <c r="C217" s="24">
        <v>-12.0</v>
      </c>
      <c r="D217" s="25" t="s">
        <v>566</v>
      </c>
      <c r="E217" s="25" t="s">
        <v>246</v>
      </c>
      <c r="F217" s="23" t="s">
        <v>21</v>
      </c>
      <c r="G217" s="23" t="s">
        <v>21</v>
      </c>
      <c r="H217" s="25" t="s">
        <v>567</v>
      </c>
      <c r="I217" s="23" t="s">
        <v>21</v>
      </c>
      <c r="J217" s="23" t="s">
        <v>22</v>
      </c>
      <c r="K217" s="23" t="s">
        <v>412</v>
      </c>
      <c r="L217" s="24">
        <v>24385.0</v>
      </c>
      <c r="M217" s="23" t="s">
        <v>21</v>
      </c>
      <c r="N217" s="24">
        <v>1.0</v>
      </c>
      <c r="O217" s="24">
        <v>0.0</v>
      </c>
      <c r="P217" s="24">
        <v>24400.0</v>
      </c>
    </row>
    <row r="218">
      <c r="A218" s="23" t="s">
        <v>568</v>
      </c>
      <c r="B218" s="23" t="s">
        <v>33</v>
      </c>
      <c r="C218" s="24">
        <v>-12.0</v>
      </c>
      <c r="D218" s="25" t="s">
        <v>569</v>
      </c>
      <c r="E218" s="25" t="s">
        <v>570</v>
      </c>
      <c r="F218" s="23" t="s">
        <v>21</v>
      </c>
      <c r="G218" s="23" t="s">
        <v>21</v>
      </c>
      <c r="H218" s="25" t="s">
        <v>99</v>
      </c>
      <c r="I218" s="23" t="s">
        <v>21</v>
      </c>
      <c r="J218" s="23" t="s">
        <v>22</v>
      </c>
      <c r="K218" s="23" t="s">
        <v>412</v>
      </c>
      <c r="L218" s="24">
        <v>24361.35</v>
      </c>
      <c r="M218" s="23" t="s">
        <v>21</v>
      </c>
      <c r="N218" s="24">
        <v>1.0</v>
      </c>
      <c r="O218" s="24">
        <v>0.0</v>
      </c>
      <c r="P218" s="24">
        <v>24350.0</v>
      </c>
    </row>
    <row r="219">
      <c r="A219" s="23" t="s">
        <v>571</v>
      </c>
      <c r="B219" s="23" t="s">
        <v>35</v>
      </c>
      <c r="C219" s="24">
        <v>12.0</v>
      </c>
      <c r="D219" s="25" t="s">
        <v>572</v>
      </c>
      <c r="E219" s="25" t="s">
        <v>573</v>
      </c>
      <c r="F219" s="23" t="s">
        <v>21</v>
      </c>
      <c r="G219" s="23" t="s">
        <v>21</v>
      </c>
      <c r="H219" s="25" t="s">
        <v>574</v>
      </c>
      <c r="I219" s="23" t="s">
        <v>21</v>
      </c>
      <c r="J219" s="23" t="s">
        <v>22</v>
      </c>
      <c r="K219" s="23" t="s">
        <v>417</v>
      </c>
      <c r="L219" s="24">
        <v>24356.65</v>
      </c>
      <c r="M219" s="23" t="s">
        <v>21</v>
      </c>
      <c r="N219" s="24">
        <v>1.0</v>
      </c>
      <c r="O219" s="24">
        <v>0.0</v>
      </c>
      <c r="P219" s="24">
        <v>24350.0</v>
      </c>
    </row>
    <row r="220">
      <c r="A220" s="23" t="s">
        <v>575</v>
      </c>
      <c r="B220" s="23" t="s">
        <v>33</v>
      </c>
      <c r="C220" s="24">
        <v>-12.0</v>
      </c>
      <c r="D220" s="25" t="s">
        <v>576</v>
      </c>
      <c r="E220" s="25" t="s">
        <v>577</v>
      </c>
      <c r="F220" s="23" t="s">
        <v>21</v>
      </c>
      <c r="G220" s="23" t="s">
        <v>21</v>
      </c>
      <c r="H220" s="25" t="s">
        <v>578</v>
      </c>
      <c r="I220" s="23" t="s">
        <v>21</v>
      </c>
      <c r="J220" s="23" t="s">
        <v>22</v>
      </c>
      <c r="K220" s="23" t="s">
        <v>412</v>
      </c>
      <c r="L220" s="24">
        <v>24346.05</v>
      </c>
      <c r="M220" s="23" t="s">
        <v>21</v>
      </c>
      <c r="N220" s="24">
        <v>1.0</v>
      </c>
      <c r="O220" s="24">
        <v>0.0</v>
      </c>
      <c r="P220" s="24">
        <v>24350.0</v>
      </c>
    </row>
    <row r="221">
      <c r="A221" s="23" t="s">
        <v>579</v>
      </c>
      <c r="B221" s="23" t="s">
        <v>33</v>
      </c>
      <c r="C221" s="24">
        <v>-2.0</v>
      </c>
      <c r="D221" s="25" t="s">
        <v>580</v>
      </c>
      <c r="E221" s="25" t="s">
        <v>581</v>
      </c>
      <c r="F221" s="23" t="s">
        <v>21</v>
      </c>
      <c r="G221" s="23" t="s">
        <v>21</v>
      </c>
      <c r="H221" s="25" t="s">
        <v>582</v>
      </c>
      <c r="I221" s="23" t="s">
        <v>21</v>
      </c>
      <c r="J221" s="23" t="s">
        <v>22</v>
      </c>
      <c r="K221" s="23" t="s">
        <v>412</v>
      </c>
      <c r="L221" s="24">
        <v>24357.75</v>
      </c>
      <c r="M221" s="23" t="s">
        <v>21</v>
      </c>
      <c r="N221" s="24">
        <v>1.0</v>
      </c>
      <c r="O221" s="24">
        <v>0.0</v>
      </c>
      <c r="P221" s="24">
        <v>24350.0</v>
      </c>
    </row>
    <row r="222">
      <c r="A222" s="23" t="s">
        <v>583</v>
      </c>
      <c r="B222" s="23" t="s">
        <v>35</v>
      </c>
      <c r="C222" s="24">
        <v>13.0</v>
      </c>
      <c r="D222" s="25" t="s">
        <v>584</v>
      </c>
      <c r="E222" s="25" t="s">
        <v>585</v>
      </c>
      <c r="F222" s="23" t="s">
        <v>21</v>
      </c>
      <c r="G222" s="23" t="s">
        <v>21</v>
      </c>
      <c r="H222" s="25" t="s">
        <v>201</v>
      </c>
      <c r="I222" s="23" t="s">
        <v>21</v>
      </c>
      <c r="J222" s="23" t="s">
        <v>22</v>
      </c>
      <c r="K222" s="23" t="s">
        <v>412</v>
      </c>
      <c r="L222" s="24">
        <v>24387.45</v>
      </c>
      <c r="M222" s="23" t="s">
        <v>21</v>
      </c>
      <c r="N222" s="24">
        <v>1.0</v>
      </c>
      <c r="O222" s="24">
        <v>0.0</v>
      </c>
      <c r="P222" s="24">
        <v>24400.0</v>
      </c>
    </row>
    <row r="223">
      <c r="A223" s="23" t="s">
        <v>586</v>
      </c>
      <c r="B223" s="23" t="s">
        <v>35</v>
      </c>
      <c r="C223" s="24">
        <v>3.0</v>
      </c>
      <c r="D223" s="25" t="s">
        <v>587</v>
      </c>
      <c r="E223" s="25" t="s">
        <v>588</v>
      </c>
      <c r="F223" s="23" t="s">
        <v>21</v>
      </c>
      <c r="G223" s="23" t="s">
        <v>21</v>
      </c>
      <c r="H223" s="25" t="s">
        <v>574</v>
      </c>
      <c r="I223" s="23" t="s">
        <v>21</v>
      </c>
      <c r="J223" s="23" t="s">
        <v>22</v>
      </c>
      <c r="K223" s="23" t="s">
        <v>412</v>
      </c>
      <c r="L223" s="24">
        <v>24377.05</v>
      </c>
      <c r="M223" s="23" t="s">
        <v>21</v>
      </c>
      <c r="N223" s="24">
        <v>1.0</v>
      </c>
      <c r="O223" s="24">
        <v>0.0</v>
      </c>
      <c r="P223" s="24">
        <v>24400.0</v>
      </c>
    </row>
    <row r="224">
      <c r="A224" s="23" t="s">
        <v>589</v>
      </c>
      <c r="B224" s="23" t="s">
        <v>33</v>
      </c>
      <c r="C224" s="24">
        <v>-7.0</v>
      </c>
      <c r="D224" s="25" t="s">
        <v>590</v>
      </c>
      <c r="E224" s="25" t="s">
        <v>591</v>
      </c>
      <c r="F224" s="23" t="s">
        <v>21</v>
      </c>
      <c r="G224" s="23" t="s">
        <v>21</v>
      </c>
      <c r="H224" s="25" t="s">
        <v>190</v>
      </c>
      <c r="I224" s="23" t="s">
        <v>21</v>
      </c>
      <c r="J224" s="23" t="s">
        <v>22</v>
      </c>
      <c r="K224" s="23" t="s">
        <v>412</v>
      </c>
      <c r="L224" s="24">
        <v>24380.8</v>
      </c>
      <c r="M224" s="23" t="s">
        <v>21</v>
      </c>
      <c r="N224" s="24">
        <v>1.0</v>
      </c>
      <c r="O224" s="24">
        <v>0.0</v>
      </c>
      <c r="P224" s="24">
        <v>24400.0</v>
      </c>
    </row>
    <row r="225">
      <c r="A225" s="23" t="s">
        <v>592</v>
      </c>
      <c r="B225" s="23" t="s">
        <v>35</v>
      </c>
      <c r="C225" s="24">
        <v>17.0</v>
      </c>
      <c r="D225" s="25" t="s">
        <v>593</v>
      </c>
      <c r="E225" s="25" t="s">
        <v>594</v>
      </c>
      <c r="F225" s="23" t="s">
        <v>21</v>
      </c>
      <c r="G225" s="23" t="s">
        <v>21</v>
      </c>
      <c r="H225" s="25" t="s">
        <v>190</v>
      </c>
      <c r="I225" s="23" t="s">
        <v>21</v>
      </c>
      <c r="J225" s="23" t="s">
        <v>22</v>
      </c>
      <c r="K225" s="23" t="s">
        <v>417</v>
      </c>
      <c r="L225" s="24">
        <v>24386.05</v>
      </c>
      <c r="M225" s="23" t="s">
        <v>21</v>
      </c>
      <c r="N225" s="24">
        <v>1.0</v>
      </c>
      <c r="O225" s="24">
        <v>0.0</v>
      </c>
      <c r="P225" s="24">
        <v>24400.0</v>
      </c>
    </row>
    <row r="226">
      <c r="A226" s="23" t="s">
        <v>595</v>
      </c>
      <c r="B226" s="23" t="s">
        <v>33</v>
      </c>
      <c r="C226" s="24">
        <v>-12.0</v>
      </c>
      <c r="D226" s="25" t="s">
        <v>596</v>
      </c>
      <c r="E226" s="25" t="s">
        <v>597</v>
      </c>
      <c r="F226" s="23" t="s">
        <v>21</v>
      </c>
      <c r="G226" s="23" t="s">
        <v>21</v>
      </c>
      <c r="H226" s="25" t="s">
        <v>598</v>
      </c>
      <c r="I226" s="23" t="s">
        <v>21</v>
      </c>
      <c r="J226" s="23" t="s">
        <v>22</v>
      </c>
      <c r="K226" s="23" t="s">
        <v>412</v>
      </c>
      <c r="L226" s="24">
        <v>24397.25</v>
      </c>
      <c r="M226" s="23" t="s">
        <v>21</v>
      </c>
      <c r="N226" s="24">
        <v>1.0</v>
      </c>
      <c r="O226" s="24">
        <v>0.0</v>
      </c>
      <c r="P226" s="24">
        <v>24400.0</v>
      </c>
    </row>
    <row r="227">
      <c r="A227" s="23" t="s">
        <v>599</v>
      </c>
      <c r="B227" s="23" t="s">
        <v>35</v>
      </c>
      <c r="C227" s="24">
        <v>22.0</v>
      </c>
      <c r="D227" s="25" t="s">
        <v>600</v>
      </c>
      <c r="E227" s="25" t="s">
        <v>601</v>
      </c>
      <c r="F227" s="23" t="s">
        <v>21</v>
      </c>
      <c r="G227" s="23" t="s">
        <v>21</v>
      </c>
      <c r="H227" s="25" t="s">
        <v>461</v>
      </c>
      <c r="I227" s="23" t="s">
        <v>21</v>
      </c>
      <c r="J227" s="23" t="s">
        <v>22</v>
      </c>
      <c r="K227" s="23" t="s">
        <v>417</v>
      </c>
      <c r="L227" s="24">
        <v>24414.9</v>
      </c>
      <c r="M227" s="23" t="s">
        <v>21</v>
      </c>
      <c r="N227" s="24">
        <v>1.0</v>
      </c>
      <c r="O227" s="24">
        <v>0.0</v>
      </c>
      <c r="P227" s="24">
        <v>24400.0</v>
      </c>
    </row>
    <row r="228">
      <c r="A228" s="23" t="s">
        <v>602</v>
      </c>
      <c r="B228" s="23" t="s">
        <v>35</v>
      </c>
      <c r="C228" s="24">
        <v>18.0</v>
      </c>
      <c r="D228" s="25" t="s">
        <v>603</v>
      </c>
      <c r="E228" s="25" t="s">
        <v>604</v>
      </c>
      <c r="F228" s="23" t="s">
        <v>21</v>
      </c>
      <c r="G228" s="23" t="s">
        <v>21</v>
      </c>
      <c r="H228" s="25" t="s">
        <v>247</v>
      </c>
      <c r="I228" s="23" t="s">
        <v>21</v>
      </c>
      <c r="J228" s="23" t="s">
        <v>22</v>
      </c>
      <c r="K228" s="23" t="s">
        <v>412</v>
      </c>
      <c r="L228" s="24">
        <v>24424.9</v>
      </c>
      <c r="M228" s="23" t="s">
        <v>21</v>
      </c>
      <c r="N228" s="24">
        <v>1.0</v>
      </c>
      <c r="O228" s="24">
        <v>0.0</v>
      </c>
      <c r="P228" s="24">
        <v>24400.0</v>
      </c>
    </row>
    <row r="229">
      <c r="A229" s="23" t="s">
        <v>605</v>
      </c>
      <c r="B229" s="23" t="s">
        <v>35</v>
      </c>
      <c r="C229" s="24">
        <v>18.0</v>
      </c>
      <c r="D229" s="25" t="s">
        <v>606</v>
      </c>
      <c r="E229" s="25" t="s">
        <v>607</v>
      </c>
      <c r="F229" s="23" t="s">
        <v>21</v>
      </c>
      <c r="G229" s="23" t="s">
        <v>21</v>
      </c>
      <c r="H229" s="25" t="s">
        <v>439</v>
      </c>
      <c r="I229" s="23" t="s">
        <v>21</v>
      </c>
      <c r="J229" s="23" t="s">
        <v>22</v>
      </c>
      <c r="K229" s="23" t="s">
        <v>412</v>
      </c>
      <c r="L229" s="24">
        <v>24465.7</v>
      </c>
      <c r="M229" s="23" t="s">
        <v>21</v>
      </c>
      <c r="N229" s="24">
        <v>1.0</v>
      </c>
      <c r="O229" s="24">
        <v>0.0</v>
      </c>
      <c r="P229" s="24">
        <v>24450.0</v>
      </c>
    </row>
    <row r="230">
      <c r="A230" s="23" t="s">
        <v>608</v>
      </c>
      <c r="B230" s="23" t="s">
        <v>35</v>
      </c>
      <c r="C230" s="24">
        <v>18.0</v>
      </c>
      <c r="D230" s="25" t="s">
        <v>609</v>
      </c>
      <c r="E230" s="25" t="s">
        <v>610</v>
      </c>
      <c r="F230" s="23" t="s">
        <v>21</v>
      </c>
      <c r="G230" s="23" t="s">
        <v>21</v>
      </c>
      <c r="H230" s="25" t="s">
        <v>258</v>
      </c>
      <c r="I230" s="23" t="s">
        <v>21</v>
      </c>
      <c r="J230" s="23" t="s">
        <v>22</v>
      </c>
      <c r="K230" s="23" t="s">
        <v>412</v>
      </c>
      <c r="L230" s="24">
        <v>24454.8</v>
      </c>
      <c r="M230" s="23" t="s">
        <v>21</v>
      </c>
      <c r="N230" s="24">
        <v>1.0</v>
      </c>
      <c r="O230" s="24">
        <v>0.0</v>
      </c>
      <c r="P230" s="24">
        <v>24450.0</v>
      </c>
    </row>
    <row r="231">
      <c r="A231" s="23" t="s">
        <v>611</v>
      </c>
      <c r="B231" s="23" t="s">
        <v>35</v>
      </c>
      <c r="C231" s="24">
        <v>18.0</v>
      </c>
      <c r="D231" s="25" t="s">
        <v>612</v>
      </c>
      <c r="E231" s="25" t="s">
        <v>613</v>
      </c>
      <c r="F231" s="23" t="s">
        <v>21</v>
      </c>
      <c r="G231" s="23" t="s">
        <v>21</v>
      </c>
      <c r="H231" s="25" t="s">
        <v>446</v>
      </c>
      <c r="I231" s="23" t="s">
        <v>21</v>
      </c>
      <c r="J231" s="23" t="s">
        <v>22</v>
      </c>
      <c r="K231" s="23" t="s">
        <v>412</v>
      </c>
      <c r="L231" s="24">
        <v>24453.8</v>
      </c>
      <c r="M231" s="23" t="s">
        <v>21</v>
      </c>
      <c r="N231" s="24">
        <v>1.0</v>
      </c>
      <c r="O231" s="24">
        <v>0.0</v>
      </c>
      <c r="P231" s="24">
        <v>24450.0</v>
      </c>
    </row>
    <row r="232">
      <c r="A232" s="26" t="s">
        <v>614</v>
      </c>
      <c r="B232" s="26" t="s">
        <v>35</v>
      </c>
      <c r="C232" s="27">
        <v>32.0</v>
      </c>
      <c r="D232" s="28" t="s">
        <v>615</v>
      </c>
      <c r="E232" s="28" t="s">
        <v>616</v>
      </c>
      <c r="F232" s="26" t="s">
        <v>21</v>
      </c>
      <c r="G232" s="26" t="s">
        <v>21</v>
      </c>
      <c r="H232" s="28" t="s">
        <v>54</v>
      </c>
      <c r="I232" s="26" t="s">
        <v>21</v>
      </c>
      <c r="J232" s="26" t="s">
        <v>22</v>
      </c>
      <c r="K232" s="26" t="s">
        <v>417</v>
      </c>
      <c r="L232" s="27">
        <v>24479.15</v>
      </c>
      <c r="M232" s="26" t="s">
        <v>21</v>
      </c>
      <c r="N232" s="27">
        <v>1.0</v>
      </c>
      <c r="O232" s="27">
        <v>0.0</v>
      </c>
      <c r="P232" s="27">
        <v>24500.0</v>
      </c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>
      <c r="A233" s="23" t="s">
        <v>617</v>
      </c>
      <c r="B233" s="23" t="s">
        <v>35</v>
      </c>
      <c r="C233" s="24">
        <v>18.0</v>
      </c>
      <c r="D233" s="25" t="s">
        <v>618</v>
      </c>
      <c r="E233" s="25" t="s">
        <v>619</v>
      </c>
      <c r="F233" s="23" t="s">
        <v>21</v>
      </c>
      <c r="G233" s="23" t="s">
        <v>21</v>
      </c>
      <c r="H233" s="25" t="s">
        <v>293</v>
      </c>
      <c r="I233" s="23" t="s">
        <v>21</v>
      </c>
      <c r="J233" s="23" t="s">
        <v>22</v>
      </c>
      <c r="K233" s="23" t="s">
        <v>412</v>
      </c>
      <c r="L233" s="24">
        <v>24493.35</v>
      </c>
      <c r="M233" s="23" t="s">
        <v>21</v>
      </c>
      <c r="N233" s="24">
        <v>1.0</v>
      </c>
      <c r="O233" s="24">
        <v>0.0</v>
      </c>
      <c r="P233" s="24">
        <v>24500.0</v>
      </c>
    </row>
    <row r="234">
      <c r="A234" s="26" t="s">
        <v>620</v>
      </c>
      <c r="B234" s="26" t="s">
        <v>35</v>
      </c>
      <c r="C234" s="27">
        <v>32.0</v>
      </c>
      <c r="D234" s="28" t="s">
        <v>621</v>
      </c>
      <c r="E234" s="28" t="s">
        <v>622</v>
      </c>
      <c r="F234" s="26" t="s">
        <v>21</v>
      </c>
      <c r="G234" s="26" t="s">
        <v>21</v>
      </c>
      <c r="H234" s="28" t="s">
        <v>269</v>
      </c>
      <c r="I234" s="26" t="s">
        <v>21</v>
      </c>
      <c r="J234" s="26" t="s">
        <v>22</v>
      </c>
      <c r="K234" s="26" t="s">
        <v>417</v>
      </c>
      <c r="L234" s="27">
        <v>24513.85</v>
      </c>
      <c r="M234" s="26" t="s">
        <v>21</v>
      </c>
      <c r="N234" s="27">
        <v>1.0</v>
      </c>
      <c r="O234" s="27">
        <v>0.0</v>
      </c>
      <c r="P234" s="27">
        <v>24500.0</v>
      </c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>
      <c r="A235" s="23" t="s">
        <v>623</v>
      </c>
      <c r="B235" s="23" t="s">
        <v>35</v>
      </c>
      <c r="C235" s="24">
        <v>22.0</v>
      </c>
      <c r="D235" s="25" t="s">
        <v>624</v>
      </c>
      <c r="E235" s="25" t="s">
        <v>625</v>
      </c>
      <c r="F235" s="23" t="s">
        <v>21</v>
      </c>
      <c r="G235" s="23" t="s">
        <v>21</v>
      </c>
      <c r="H235" s="25" t="s">
        <v>303</v>
      </c>
      <c r="I235" s="23" t="s">
        <v>21</v>
      </c>
      <c r="J235" s="23" t="s">
        <v>22</v>
      </c>
      <c r="K235" s="23" t="s">
        <v>417</v>
      </c>
      <c r="L235" s="24">
        <v>24520.1</v>
      </c>
      <c r="M235" s="23" t="s">
        <v>21</v>
      </c>
      <c r="N235" s="24">
        <v>1.0</v>
      </c>
      <c r="O235" s="24">
        <v>0.0</v>
      </c>
      <c r="P235" s="24">
        <v>24500.0</v>
      </c>
    </row>
    <row r="236">
      <c r="A236" s="23" t="s">
        <v>626</v>
      </c>
      <c r="B236" s="23" t="s">
        <v>35</v>
      </c>
      <c r="C236" s="24">
        <v>22.0</v>
      </c>
      <c r="D236" s="25" t="s">
        <v>627</v>
      </c>
      <c r="E236" s="25" t="s">
        <v>628</v>
      </c>
      <c r="F236" s="23" t="s">
        <v>21</v>
      </c>
      <c r="G236" s="23" t="s">
        <v>21</v>
      </c>
      <c r="H236" s="25" t="s">
        <v>269</v>
      </c>
      <c r="I236" s="23" t="s">
        <v>21</v>
      </c>
      <c r="J236" s="23" t="s">
        <v>22</v>
      </c>
      <c r="K236" s="23" t="s">
        <v>417</v>
      </c>
      <c r="L236" s="24">
        <v>24536.7</v>
      </c>
      <c r="M236" s="23" t="s">
        <v>21</v>
      </c>
      <c r="N236" s="24">
        <v>1.0</v>
      </c>
      <c r="O236" s="24">
        <v>0.0</v>
      </c>
      <c r="P236" s="24">
        <v>24550.0</v>
      </c>
    </row>
    <row r="237">
      <c r="A237" s="26" t="s">
        <v>629</v>
      </c>
      <c r="B237" s="26" t="s">
        <v>35</v>
      </c>
      <c r="C237" s="27">
        <v>32.0</v>
      </c>
      <c r="D237" s="28" t="s">
        <v>630</v>
      </c>
      <c r="E237" s="28" t="s">
        <v>631</v>
      </c>
      <c r="F237" s="26" t="s">
        <v>21</v>
      </c>
      <c r="G237" s="26" t="s">
        <v>21</v>
      </c>
      <c r="H237" s="28" t="s">
        <v>279</v>
      </c>
      <c r="I237" s="26" t="s">
        <v>21</v>
      </c>
      <c r="J237" s="26" t="s">
        <v>22</v>
      </c>
      <c r="K237" s="26" t="s">
        <v>417</v>
      </c>
      <c r="L237" s="27">
        <v>24532.35</v>
      </c>
      <c r="M237" s="26" t="s">
        <v>21</v>
      </c>
      <c r="N237" s="27">
        <v>1.0</v>
      </c>
      <c r="O237" s="27">
        <v>0.0</v>
      </c>
      <c r="P237" s="27">
        <v>24550.0</v>
      </c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>
      <c r="A238" s="23" t="s">
        <v>632</v>
      </c>
      <c r="B238" s="23" t="s">
        <v>35</v>
      </c>
      <c r="C238" s="24">
        <v>23.0</v>
      </c>
      <c r="D238" s="25" t="s">
        <v>633</v>
      </c>
      <c r="E238" s="25" t="s">
        <v>634</v>
      </c>
      <c r="F238" s="23" t="s">
        <v>21</v>
      </c>
      <c r="G238" s="23" t="s">
        <v>21</v>
      </c>
      <c r="H238" s="25" t="s">
        <v>416</v>
      </c>
      <c r="I238" s="23" t="s">
        <v>21</v>
      </c>
      <c r="J238" s="23" t="s">
        <v>22</v>
      </c>
      <c r="K238" s="23" t="s">
        <v>486</v>
      </c>
      <c r="L238" s="24">
        <v>24566.0</v>
      </c>
      <c r="M238" s="23" t="s">
        <v>21</v>
      </c>
      <c r="N238" s="24">
        <v>1.0</v>
      </c>
      <c r="O238" s="24">
        <v>0.0</v>
      </c>
      <c r="P238" s="24">
        <v>24550.0</v>
      </c>
    </row>
    <row r="239">
      <c r="A239" s="23" t="s">
        <v>635</v>
      </c>
      <c r="B239" s="23" t="s">
        <v>35</v>
      </c>
      <c r="C239" s="24">
        <v>18.0</v>
      </c>
      <c r="D239" s="25" t="s">
        <v>636</v>
      </c>
      <c r="E239" s="25" t="s">
        <v>637</v>
      </c>
      <c r="F239" s="23" t="s">
        <v>21</v>
      </c>
      <c r="G239" s="23" t="s">
        <v>21</v>
      </c>
      <c r="H239" s="25" t="s">
        <v>638</v>
      </c>
      <c r="I239" s="23" t="s">
        <v>21</v>
      </c>
      <c r="J239" s="23" t="s">
        <v>22</v>
      </c>
      <c r="K239" s="23" t="s">
        <v>412</v>
      </c>
      <c r="L239" s="24">
        <v>24581.45</v>
      </c>
      <c r="M239" s="23" t="s">
        <v>21</v>
      </c>
      <c r="N239" s="24">
        <v>1.0</v>
      </c>
      <c r="O239" s="24">
        <v>0.0</v>
      </c>
      <c r="P239" s="24">
        <v>24600.0</v>
      </c>
    </row>
    <row r="240">
      <c r="A240" s="23" t="s">
        <v>639</v>
      </c>
      <c r="B240" s="23" t="s">
        <v>35</v>
      </c>
      <c r="C240" s="24">
        <v>15.0</v>
      </c>
      <c r="D240" s="25" t="s">
        <v>640</v>
      </c>
      <c r="E240" s="25" t="s">
        <v>641</v>
      </c>
      <c r="F240" s="23" t="s">
        <v>21</v>
      </c>
      <c r="G240" s="23" t="s">
        <v>21</v>
      </c>
      <c r="H240" s="25" t="s">
        <v>642</v>
      </c>
      <c r="I240" s="23" t="s">
        <v>21</v>
      </c>
      <c r="J240" s="23" t="s">
        <v>22</v>
      </c>
      <c r="K240" s="23" t="s">
        <v>486</v>
      </c>
      <c r="L240" s="24">
        <v>24591.8</v>
      </c>
      <c r="M240" s="23" t="s">
        <v>21</v>
      </c>
      <c r="N240" s="24">
        <v>1.0</v>
      </c>
      <c r="O240" s="24">
        <v>0.0</v>
      </c>
      <c r="P240" s="24">
        <v>24600.0</v>
      </c>
    </row>
    <row r="241">
      <c r="A241" s="23" t="s">
        <v>643</v>
      </c>
      <c r="B241" s="23" t="s">
        <v>35</v>
      </c>
      <c r="C241" s="24">
        <v>22.0</v>
      </c>
      <c r="D241" s="25" t="s">
        <v>644</v>
      </c>
      <c r="E241" s="25" t="s">
        <v>645</v>
      </c>
      <c r="F241" s="23" t="s">
        <v>21</v>
      </c>
      <c r="G241" s="23" t="s">
        <v>21</v>
      </c>
      <c r="H241" s="25" t="s">
        <v>370</v>
      </c>
      <c r="I241" s="23" t="s">
        <v>21</v>
      </c>
      <c r="J241" s="23" t="s">
        <v>22</v>
      </c>
      <c r="K241" s="23" t="s">
        <v>417</v>
      </c>
      <c r="L241" s="24">
        <v>24602.2</v>
      </c>
      <c r="M241" s="23" t="s">
        <v>21</v>
      </c>
      <c r="N241" s="24">
        <v>1.0</v>
      </c>
      <c r="O241" s="24">
        <v>0.0</v>
      </c>
      <c r="P241" s="24">
        <v>24600.0</v>
      </c>
    </row>
    <row r="242">
      <c r="A242" s="26" t="s">
        <v>646</v>
      </c>
      <c r="B242" s="26" t="s">
        <v>35</v>
      </c>
      <c r="C242" s="27">
        <v>32.0</v>
      </c>
      <c r="D242" s="28" t="s">
        <v>647</v>
      </c>
      <c r="E242" s="28" t="s">
        <v>648</v>
      </c>
      <c r="F242" s="26" t="s">
        <v>21</v>
      </c>
      <c r="G242" s="26" t="s">
        <v>21</v>
      </c>
      <c r="H242" s="28" t="s">
        <v>649</v>
      </c>
      <c r="I242" s="26" t="s">
        <v>21</v>
      </c>
      <c r="J242" s="26" t="s">
        <v>22</v>
      </c>
      <c r="K242" s="26" t="s">
        <v>417</v>
      </c>
      <c r="L242" s="27">
        <v>24624.85</v>
      </c>
      <c r="M242" s="26" t="s">
        <v>21</v>
      </c>
      <c r="N242" s="27">
        <v>1.0</v>
      </c>
      <c r="O242" s="27">
        <v>0.0</v>
      </c>
      <c r="P242" s="27">
        <v>24600.0</v>
      </c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>
      <c r="A243" s="23" t="s">
        <v>650</v>
      </c>
      <c r="B243" s="23" t="s">
        <v>35</v>
      </c>
      <c r="C243" s="24">
        <v>25.0</v>
      </c>
      <c r="D243" s="25" t="s">
        <v>651</v>
      </c>
      <c r="E243" s="25" t="s">
        <v>652</v>
      </c>
      <c r="F243" s="23" t="s">
        <v>21</v>
      </c>
      <c r="G243" s="23" t="s">
        <v>21</v>
      </c>
      <c r="H243" s="25" t="s">
        <v>653</v>
      </c>
      <c r="I243" s="23" t="s">
        <v>21</v>
      </c>
      <c r="J243" s="23" t="s">
        <v>22</v>
      </c>
      <c r="K243" s="23" t="s">
        <v>486</v>
      </c>
      <c r="L243" s="24">
        <v>24627.65</v>
      </c>
      <c r="M243" s="23" t="s">
        <v>21</v>
      </c>
      <c r="N243" s="24">
        <v>1.0</v>
      </c>
      <c r="O243" s="24">
        <v>0.0</v>
      </c>
      <c r="P243" s="24">
        <v>24650.0</v>
      </c>
    </row>
    <row r="244">
      <c r="A244" s="30"/>
      <c r="B244" s="30"/>
      <c r="C244" s="31"/>
      <c r="D244" s="30"/>
      <c r="E244" s="30"/>
      <c r="F244" s="30"/>
      <c r="G244" s="30"/>
      <c r="H244" s="30"/>
      <c r="I244" s="30"/>
      <c r="J244" s="30"/>
      <c r="K244" s="30"/>
      <c r="L244" s="31"/>
      <c r="M244" s="30"/>
      <c r="N244" s="31"/>
      <c r="O244" s="31"/>
      <c r="P244" s="31"/>
      <c r="Q244" s="32"/>
      <c r="R244" s="32"/>
      <c r="S244" s="32"/>
      <c r="T244" s="32"/>
      <c r="U244" s="32"/>
      <c r="V244" s="32"/>
      <c r="W244" s="32"/>
      <c r="X244" s="32"/>
      <c r="Y244" s="32"/>
      <c r="Z244" s="32"/>
    </row>
    <row r="245">
      <c r="A245" s="23" t="s">
        <v>654</v>
      </c>
      <c r="B245" s="23" t="s">
        <v>35</v>
      </c>
      <c r="C245" s="24">
        <v>5.0</v>
      </c>
      <c r="D245" s="25" t="s">
        <v>655</v>
      </c>
      <c r="E245" s="25" t="s">
        <v>656</v>
      </c>
      <c r="F245" s="23" t="s">
        <v>21</v>
      </c>
      <c r="G245" s="23" t="s">
        <v>21</v>
      </c>
      <c r="H245" s="25" t="s">
        <v>657</v>
      </c>
      <c r="I245" s="23" t="s">
        <v>21</v>
      </c>
      <c r="J245" s="23" t="s">
        <v>22</v>
      </c>
      <c r="K245" s="23" t="s">
        <v>658</v>
      </c>
      <c r="L245" s="24">
        <v>24451.0</v>
      </c>
      <c r="M245" s="23" t="s">
        <v>21</v>
      </c>
      <c r="N245" s="24">
        <v>1.0</v>
      </c>
      <c r="O245" s="24">
        <v>0.0</v>
      </c>
      <c r="P245" s="24">
        <v>24450.0</v>
      </c>
    </row>
    <row r="246">
      <c r="A246" s="23" t="s">
        <v>659</v>
      </c>
      <c r="B246" s="23" t="s">
        <v>35</v>
      </c>
      <c r="C246" s="24">
        <v>8.0</v>
      </c>
      <c r="D246" s="25" t="s">
        <v>660</v>
      </c>
      <c r="E246" s="25" t="s">
        <v>661</v>
      </c>
      <c r="F246" s="23" t="s">
        <v>21</v>
      </c>
      <c r="G246" s="23" t="s">
        <v>21</v>
      </c>
      <c r="H246" s="25" t="s">
        <v>314</v>
      </c>
      <c r="I246" s="23" t="s">
        <v>21</v>
      </c>
      <c r="J246" s="23" t="s">
        <v>22</v>
      </c>
      <c r="K246" s="23" t="s">
        <v>662</v>
      </c>
      <c r="L246" s="24">
        <v>24456.85</v>
      </c>
      <c r="M246" s="23" t="s">
        <v>21</v>
      </c>
      <c r="N246" s="24">
        <v>1.0</v>
      </c>
      <c r="O246" s="24">
        <v>0.0</v>
      </c>
      <c r="P246" s="24">
        <v>24450.0</v>
      </c>
    </row>
    <row r="247">
      <c r="A247" s="23" t="s">
        <v>663</v>
      </c>
      <c r="B247" s="23" t="s">
        <v>35</v>
      </c>
      <c r="C247" s="24">
        <v>10.0</v>
      </c>
      <c r="D247" s="25" t="s">
        <v>664</v>
      </c>
      <c r="E247" s="25" t="s">
        <v>665</v>
      </c>
      <c r="F247" s="23" t="s">
        <v>21</v>
      </c>
      <c r="G247" s="23" t="s">
        <v>21</v>
      </c>
      <c r="H247" s="25" t="s">
        <v>269</v>
      </c>
      <c r="I247" s="23" t="s">
        <v>21</v>
      </c>
      <c r="J247" s="23" t="s">
        <v>22</v>
      </c>
      <c r="K247" s="23" t="s">
        <v>658</v>
      </c>
      <c r="L247" s="24">
        <v>24467.3</v>
      </c>
      <c r="M247" s="23" t="s">
        <v>21</v>
      </c>
      <c r="N247" s="24">
        <v>1.0</v>
      </c>
      <c r="O247" s="24">
        <v>0.0</v>
      </c>
      <c r="P247" s="24">
        <v>24450.0</v>
      </c>
    </row>
    <row r="248">
      <c r="A248" s="23" t="s">
        <v>666</v>
      </c>
      <c r="B248" s="23" t="s">
        <v>35</v>
      </c>
      <c r="C248" s="24">
        <v>10.0</v>
      </c>
      <c r="D248" s="25" t="s">
        <v>667</v>
      </c>
      <c r="E248" s="25" t="s">
        <v>668</v>
      </c>
      <c r="F248" s="23" t="s">
        <v>21</v>
      </c>
      <c r="G248" s="23" t="s">
        <v>21</v>
      </c>
      <c r="H248" s="25" t="s">
        <v>258</v>
      </c>
      <c r="I248" s="23" t="s">
        <v>21</v>
      </c>
      <c r="J248" s="23" t="s">
        <v>22</v>
      </c>
      <c r="K248" s="23" t="s">
        <v>658</v>
      </c>
      <c r="L248" s="24">
        <v>24467.95</v>
      </c>
      <c r="M248" s="23" t="s">
        <v>21</v>
      </c>
      <c r="N248" s="24">
        <v>1.0</v>
      </c>
      <c r="O248" s="24">
        <v>0.0</v>
      </c>
      <c r="P248" s="24">
        <v>24450.0</v>
      </c>
    </row>
    <row r="249">
      <c r="A249" s="23" t="s">
        <v>669</v>
      </c>
      <c r="B249" s="23" t="s">
        <v>35</v>
      </c>
      <c r="C249" s="24">
        <v>3.0</v>
      </c>
      <c r="D249" s="25" t="s">
        <v>670</v>
      </c>
      <c r="E249" s="25" t="s">
        <v>671</v>
      </c>
      <c r="F249" s="23" t="s">
        <v>21</v>
      </c>
      <c r="G249" s="23" t="s">
        <v>21</v>
      </c>
      <c r="H249" s="25" t="s">
        <v>54</v>
      </c>
      <c r="I249" s="23" t="s">
        <v>21</v>
      </c>
      <c r="J249" s="23" t="s">
        <v>22</v>
      </c>
      <c r="K249" s="23" t="s">
        <v>412</v>
      </c>
      <c r="L249" s="24">
        <v>24436.65</v>
      </c>
      <c r="M249" s="23" t="s">
        <v>21</v>
      </c>
      <c r="N249" s="24">
        <v>1.0</v>
      </c>
      <c r="O249" s="24">
        <v>0.0</v>
      </c>
      <c r="P249" s="24">
        <v>24450.0</v>
      </c>
    </row>
    <row r="250">
      <c r="A250" s="23" t="s">
        <v>672</v>
      </c>
      <c r="B250" s="23" t="s">
        <v>35</v>
      </c>
      <c r="C250" s="24">
        <v>12.0</v>
      </c>
      <c r="D250" s="25" t="s">
        <v>673</v>
      </c>
      <c r="E250" s="25" t="s">
        <v>674</v>
      </c>
      <c r="F250" s="23" t="s">
        <v>21</v>
      </c>
      <c r="G250" s="23" t="s">
        <v>21</v>
      </c>
      <c r="H250" s="25" t="s">
        <v>446</v>
      </c>
      <c r="I250" s="23" t="s">
        <v>21</v>
      </c>
      <c r="J250" s="23" t="s">
        <v>22</v>
      </c>
      <c r="K250" s="23" t="s">
        <v>457</v>
      </c>
      <c r="L250" s="24">
        <v>24437.35</v>
      </c>
      <c r="M250" s="23" t="s">
        <v>21</v>
      </c>
      <c r="N250" s="24">
        <v>1.0</v>
      </c>
      <c r="O250" s="24">
        <v>0.0</v>
      </c>
      <c r="P250" s="24">
        <v>24450.0</v>
      </c>
    </row>
    <row r="251">
      <c r="A251" s="23" t="s">
        <v>675</v>
      </c>
      <c r="B251" s="23" t="s">
        <v>35</v>
      </c>
      <c r="C251" s="24">
        <v>5.0</v>
      </c>
      <c r="D251" s="25" t="s">
        <v>676</v>
      </c>
      <c r="E251" s="25" t="s">
        <v>677</v>
      </c>
      <c r="F251" s="23" t="s">
        <v>21</v>
      </c>
      <c r="G251" s="23" t="s">
        <v>21</v>
      </c>
      <c r="H251" s="25" t="s">
        <v>54</v>
      </c>
      <c r="I251" s="23" t="s">
        <v>21</v>
      </c>
      <c r="J251" s="23" t="s">
        <v>22</v>
      </c>
      <c r="K251" s="23" t="s">
        <v>658</v>
      </c>
      <c r="L251" s="24">
        <v>24427.85</v>
      </c>
      <c r="M251" s="23" t="s">
        <v>21</v>
      </c>
      <c r="N251" s="24">
        <v>1.0</v>
      </c>
      <c r="O251" s="24">
        <v>0.0</v>
      </c>
      <c r="P251" s="24">
        <v>24450.0</v>
      </c>
    </row>
    <row r="252">
      <c r="A252" s="23" t="s">
        <v>678</v>
      </c>
      <c r="B252" s="23" t="s">
        <v>35</v>
      </c>
      <c r="C252" s="24">
        <v>15.0</v>
      </c>
      <c r="D252" s="25" t="s">
        <v>679</v>
      </c>
      <c r="E252" s="25" t="s">
        <v>680</v>
      </c>
      <c r="F252" s="23" t="s">
        <v>21</v>
      </c>
      <c r="G252" s="23" t="s">
        <v>21</v>
      </c>
      <c r="H252" s="25" t="s">
        <v>450</v>
      </c>
      <c r="I252" s="23" t="s">
        <v>21</v>
      </c>
      <c r="J252" s="23" t="s">
        <v>22</v>
      </c>
      <c r="K252" s="23" t="s">
        <v>662</v>
      </c>
      <c r="L252" s="24">
        <v>24434.8</v>
      </c>
      <c r="M252" s="23" t="s">
        <v>21</v>
      </c>
      <c r="N252" s="24">
        <v>1.0</v>
      </c>
      <c r="O252" s="24">
        <v>0.0</v>
      </c>
      <c r="P252" s="24">
        <v>24450.0</v>
      </c>
    </row>
    <row r="253">
      <c r="A253" s="23" t="s">
        <v>681</v>
      </c>
      <c r="B253" s="23" t="s">
        <v>35</v>
      </c>
      <c r="C253" s="24">
        <v>5.0</v>
      </c>
      <c r="D253" s="25" t="s">
        <v>682</v>
      </c>
      <c r="E253" s="25" t="s">
        <v>683</v>
      </c>
      <c r="F253" s="23" t="s">
        <v>21</v>
      </c>
      <c r="G253" s="23" t="s">
        <v>21</v>
      </c>
      <c r="H253" s="25" t="s">
        <v>54</v>
      </c>
      <c r="I253" s="23" t="s">
        <v>21</v>
      </c>
      <c r="J253" s="23" t="s">
        <v>22</v>
      </c>
      <c r="K253" s="23" t="s">
        <v>658</v>
      </c>
      <c r="L253" s="24">
        <v>24420.4</v>
      </c>
      <c r="M253" s="23" t="s">
        <v>21</v>
      </c>
      <c r="N253" s="24">
        <v>1.0</v>
      </c>
      <c r="O253" s="24">
        <v>0.0</v>
      </c>
      <c r="P253" s="24">
        <v>24400.0</v>
      </c>
    </row>
    <row r="254">
      <c r="A254" s="23" t="s">
        <v>684</v>
      </c>
      <c r="B254" s="23" t="s">
        <v>35</v>
      </c>
      <c r="C254" s="24">
        <v>10.0</v>
      </c>
      <c r="D254" s="25" t="s">
        <v>685</v>
      </c>
      <c r="E254" s="25" t="s">
        <v>686</v>
      </c>
      <c r="F254" s="23" t="s">
        <v>21</v>
      </c>
      <c r="G254" s="23" t="s">
        <v>21</v>
      </c>
      <c r="H254" s="25" t="s">
        <v>411</v>
      </c>
      <c r="I254" s="23" t="s">
        <v>21</v>
      </c>
      <c r="J254" s="23" t="s">
        <v>22</v>
      </c>
      <c r="K254" s="23" t="s">
        <v>658</v>
      </c>
      <c r="L254" s="24">
        <v>24427.5</v>
      </c>
      <c r="M254" s="23" t="s">
        <v>21</v>
      </c>
      <c r="N254" s="24">
        <v>1.0</v>
      </c>
      <c r="O254" s="24">
        <v>0.0</v>
      </c>
      <c r="P254" s="24">
        <v>24450.0</v>
      </c>
    </row>
    <row r="255">
      <c r="A255" s="23" t="s">
        <v>687</v>
      </c>
      <c r="B255" s="23" t="s">
        <v>35</v>
      </c>
      <c r="C255" s="24">
        <v>0.0</v>
      </c>
      <c r="D255" s="25" t="s">
        <v>688</v>
      </c>
      <c r="E255" s="25" t="s">
        <v>689</v>
      </c>
      <c r="F255" s="23" t="s">
        <v>21</v>
      </c>
      <c r="G255" s="23" t="s">
        <v>21</v>
      </c>
      <c r="H255" s="25" t="s">
        <v>307</v>
      </c>
      <c r="I255" s="23" t="s">
        <v>21</v>
      </c>
      <c r="J255" s="23" t="s">
        <v>22</v>
      </c>
      <c r="K255" s="23" t="s">
        <v>486</v>
      </c>
      <c r="L255" s="24">
        <v>24433.3</v>
      </c>
      <c r="M255" s="23" t="s">
        <v>21</v>
      </c>
      <c r="N255" s="24">
        <v>1.0</v>
      </c>
      <c r="O255" s="24">
        <v>0.0</v>
      </c>
      <c r="P255" s="24">
        <v>24450.0</v>
      </c>
    </row>
    <row r="256">
      <c r="A256" s="23" t="s">
        <v>690</v>
      </c>
      <c r="B256" s="23" t="s">
        <v>33</v>
      </c>
      <c r="C256" s="24">
        <v>-5.0</v>
      </c>
      <c r="D256" s="25" t="s">
        <v>691</v>
      </c>
      <c r="E256" s="25" t="s">
        <v>677</v>
      </c>
      <c r="F256" s="23" t="s">
        <v>21</v>
      </c>
      <c r="G256" s="23" t="s">
        <v>21</v>
      </c>
      <c r="H256" s="25" t="s">
        <v>439</v>
      </c>
      <c r="I256" s="23" t="s">
        <v>21</v>
      </c>
      <c r="J256" s="23" t="s">
        <v>22</v>
      </c>
      <c r="K256" s="23" t="s">
        <v>486</v>
      </c>
      <c r="L256" s="24">
        <v>24440.85</v>
      </c>
      <c r="M256" s="23" t="s">
        <v>21</v>
      </c>
      <c r="N256" s="24">
        <v>1.0</v>
      </c>
      <c r="O256" s="24">
        <v>0.0</v>
      </c>
      <c r="P256" s="24">
        <v>24450.0</v>
      </c>
    </row>
    <row r="257">
      <c r="A257" s="23" t="s">
        <v>692</v>
      </c>
      <c r="B257" s="23" t="s">
        <v>35</v>
      </c>
      <c r="C257" s="24">
        <v>5.0</v>
      </c>
      <c r="D257" s="25" t="s">
        <v>693</v>
      </c>
      <c r="E257" s="25" t="s">
        <v>694</v>
      </c>
      <c r="F257" s="23" t="s">
        <v>21</v>
      </c>
      <c r="G257" s="23" t="s">
        <v>21</v>
      </c>
      <c r="H257" s="25" t="s">
        <v>327</v>
      </c>
      <c r="I257" s="23" t="s">
        <v>21</v>
      </c>
      <c r="J257" s="23" t="s">
        <v>22</v>
      </c>
      <c r="K257" s="23" t="s">
        <v>486</v>
      </c>
      <c r="L257" s="24">
        <v>24451.05</v>
      </c>
      <c r="M257" s="23" t="s">
        <v>21</v>
      </c>
      <c r="N257" s="24">
        <v>1.0</v>
      </c>
      <c r="O257" s="24">
        <v>0.0</v>
      </c>
      <c r="P257" s="24">
        <v>24450.0</v>
      </c>
    </row>
    <row r="258">
      <c r="A258" s="23" t="s">
        <v>695</v>
      </c>
      <c r="B258" s="23" t="s">
        <v>35</v>
      </c>
      <c r="C258" s="24">
        <v>5.0</v>
      </c>
      <c r="D258" s="25" t="s">
        <v>696</v>
      </c>
      <c r="E258" s="25" t="s">
        <v>697</v>
      </c>
      <c r="F258" s="23" t="s">
        <v>21</v>
      </c>
      <c r="G258" s="23" t="s">
        <v>21</v>
      </c>
      <c r="H258" s="25" t="s">
        <v>314</v>
      </c>
      <c r="I258" s="23" t="s">
        <v>21</v>
      </c>
      <c r="J258" s="23" t="s">
        <v>22</v>
      </c>
      <c r="K258" s="23" t="s">
        <v>486</v>
      </c>
      <c r="L258" s="24">
        <v>24434.75</v>
      </c>
      <c r="M258" s="23" t="s">
        <v>21</v>
      </c>
      <c r="N258" s="24">
        <v>1.0</v>
      </c>
      <c r="O258" s="24">
        <v>0.0</v>
      </c>
      <c r="P258" s="24">
        <v>24450.0</v>
      </c>
    </row>
    <row r="259">
      <c r="A259" s="23" t="s">
        <v>698</v>
      </c>
      <c r="B259" s="23" t="s">
        <v>35</v>
      </c>
      <c r="C259" s="24">
        <v>5.0</v>
      </c>
      <c r="D259" s="25" t="s">
        <v>699</v>
      </c>
      <c r="E259" s="25" t="s">
        <v>700</v>
      </c>
      <c r="F259" s="23" t="s">
        <v>21</v>
      </c>
      <c r="G259" s="23" t="s">
        <v>21</v>
      </c>
      <c r="H259" s="25" t="s">
        <v>446</v>
      </c>
      <c r="I259" s="23" t="s">
        <v>21</v>
      </c>
      <c r="J259" s="23" t="s">
        <v>22</v>
      </c>
      <c r="K259" s="23" t="s">
        <v>486</v>
      </c>
      <c r="L259" s="24">
        <v>24433.05</v>
      </c>
      <c r="M259" s="23" t="s">
        <v>21</v>
      </c>
      <c r="N259" s="24">
        <v>1.0</v>
      </c>
      <c r="O259" s="24">
        <v>0.0</v>
      </c>
      <c r="P259" s="24">
        <v>24450.0</v>
      </c>
    </row>
    <row r="260">
      <c r="A260" s="23" t="s">
        <v>701</v>
      </c>
      <c r="B260" s="23" t="s">
        <v>33</v>
      </c>
      <c r="C260" s="24">
        <v>-5.0</v>
      </c>
      <c r="D260" s="25" t="s">
        <v>702</v>
      </c>
      <c r="E260" s="25" t="s">
        <v>703</v>
      </c>
      <c r="F260" s="23" t="s">
        <v>21</v>
      </c>
      <c r="G260" s="23" t="s">
        <v>21</v>
      </c>
      <c r="H260" s="25" t="s">
        <v>254</v>
      </c>
      <c r="I260" s="23" t="s">
        <v>21</v>
      </c>
      <c r="J260" s="23" t="s">
        <v>22</v>
      </c>
      <c r="K260" s="23" t="s">
        <v>486</v>
      </c>
      <c r="L260" s="24">
        <v>24432.2</v>
      </c>
      <c r="M260" s="23" t="s">
        <v>21</v>
      </c>
      <c r="N260" s="24">
        <v>1.0</v>
      </c>
      <c r="O260" s="24">
        <v>0.0</v>
      </c>
      <c r="P260" s="24">
        <v>24450.0</v>
      </c>
    </row>
    <row r="261">
      <c r="A261" s="23" t="s">
        <v>704</v>
      </c>
      <c r="B261" s="23" t="s">
        <v>33</v>
      </c>
      <c r="C261" s="24">
        <v>-5.0</v>
      </c>
      <c r="D261" s="25" t="s">
        <v>705</v>
      </c>
      <c r="E261" s="25" t="s">
        <v>706</v>
      </c>
      <c r="F261" s="23" t="s">
        <v>21</v>
      </c>
      <c r="G261" s="23" t="s">
        <v>21</v>
      </c>
      <c r="H261" s="25" t="s">
        <v>439</v>
      </c>
      <c r="I261" s="23" t="s">
        <v>21</v>
      </c>
      <c r="J261" s="23" t="s">
        <v>22</v>
      </c>
      <c r="K261" s="23" t="s">
        <v>486</v>
      </c>
      <c r="L261" s="24">
        <v>24443.55</v>
      </c>
      <c r="M261" s="23" t="s">
        <v>21</v>
      </c>
      <c r="N261" s="24">
        <v>1.0</v>
      </c>
      <c r="O261" s="24">
        <v>0.0</v>
      </c>
      <c r="P261" s="24">
        <v>24450.0</v>
      </c>
    </row>
    <row r="262">
      <c r="A262" s="23" t="s">
        <v>707</v>
      </c>
      <c r="B262" s="23" t="s">
        <v>33</v>
      </c>
      <c r="C262" s="24">
        <v>-5.0</v>
      </c>
      <c r="D262" s="25" t="s">
        <v>708</v>
      </c>
      <c r="E262" s="25" t="s">
        <v>709</v>
      </c>
      <c r="F262" s="23" t="s">
        <v>21</v>
      </c>
      <c r="G262" s="23" t="s">
        <v>21</v>
      </c>
      <c r="H262" s="25" t="s">
        <v>314</v>
      </c>
      <c r="I262" s="23" t="s">
        <v>21</v>
      </c>
      <c r="J262" s="23" t="s">
        <v>22</v>
      </c>
      <c r="K262" s="23" t="s">
        <v>486</v>
      </c>
      <c r="L262" s="24">
        <v>24429.4</v>
      </c>
      <c r="M262" s="23" t="s">
        <v>21</v>
      </c>
      <c r="N262" s="24">
        <v>1.0</v>
      </c>
      <c r="O262" s="24">
        <v>0.0</v>
      </c>
      <c r="P262" s="24">
        <v>24450.0</v>
      </c>
    </row>
    <row r="263">
      <c r="A263" s="23" t="s">
        <v>710</v>
      </c>
      <c r="B263" s="23" t="s">
        <v>33</v>
      </c>
      <c r="C263" s="24">
        <v>-20.0</v>
      </c>
      <c r="D263" s="25" t="s">
        <v>711</v>
      </c>
      <c r="E263" s="25" t="s">
        <v>712</v>
      </c>
      <c r="F263" s="23" t="s">
        <v>21</v>
      </c>
      <c r="G263" s="23" t="s">
        <v>21</v>
      </c>
      <c r="H263" s="25" t="s">
        <v>223</v>
      </c>
      <c r="I263" s="23" t="s">
        <v>21</v>
      </c>
      <c r="J263" s="23" t="s">
        <v>22</v>
      </c>
      <c r="K263" s="23" t="s">
        <v>486</v>
      </c>
      <c r="L263" s="24">
        <v>24405.1</v>
      </c>
      <c r="M263" s="23" t="s">
        <v>21</v>
      </c>
      <c r="N263" s="24">
        <v>1.0</v>
      </c>
      <c r="O263" s="24">
        <v>0.0</v>
      </c>
      <c r="P263" s="24">
        <v>24400.0</v>
      </c>
    </row>
    <row r="264">
      <c r="A264" s="23" t="s">
        <v>713</v>
      </c>
      <c r="B264" s="23" t="s">
        <v>33</v>
      </c>
      <c r="C264" s="24">
        <v>-7.0</v>
      </c>
      <c r="D264" s="25" t="s">
        <v>714</v>
      </c>
      <c r="E264" s="25" t="s">
        <v>715</v>
      </c>
      <c r="F264" s="23" t="s">
        <v>21</v>
      </c>
      <c r="G264" s="23" t="s">
        <v>21</v>
      </c>
      <c r="H264" s="25" t="s">
        <v>254</v>
      </c>
      <c r="I264" s="23" t="s">
        <v>21</v>
      </c>
      <c r="J264" s="23" t="s">
        <v>22</v>
      </c>
      <c r="K264" s="23" t="s">
        <v>412</v>
      </c>
      <c r="L264" s="24">
        <v>24416.1</v>
      </c>
      <c r="M264" s="23" t="s">
        <v>21</v>
      </c>
      <c r="N264" s="24">
        <v>1.0</v>
      </c>
      <c r="O264" s="24">
        <v>0.0</v>
      </c>
      <c r="P264" s="24">
        <v>24400.0</v>
      </c>
    </row>
    <row r="265">
      <c r="A265" s="23" t="s">
        <v>716</v>
      </c>
      <c r="B265" s="23" t="s">
        <v>33</v>
      </c>
      <c r="C265" s="24">
        <v>-5.0</v>
      </c>
      <c r="D265" s="25" t="s">
        <v>717</v>
      </c>
      <c r="E265" s="25" t="s">
        <v>718</v>
      </c>
      <c r="F265" s="23" t="s">
        <v>21</v>
      </c>
      <c r="G265" s="23" t="s">
        <v>21</v>
      </c>
      <c r="H265" s="25" t="s">
        <v>411</v>
      </c>
      <c r="I265" s="23" t="s">
        <v>21</v>
      </c>
      <c r="J265" s="23" t="s">
        <v>22</v>
      </c>
      <c r="K265" s="15" t="s">
        <v>486</v>
      </c>
      <c r="L265" s="24">
        <v>24421.05</v>
      </c>
      <c r="M265" s="23" t="s">
        <v>21</v>
      </c>
      <c r="N265" s="24">
        <v>1.0</v>
      </c>
      <c r="O265" s="24">
        <v>0.0</v>
      </c>
      <c r="P265" s="24">
        <v>24400.0</v>
      </c>
    </row>
    <row r="266">
      <c r="A266" s="23" t="s">
        <v>719</v>
      </c>
      <c r="B266" s="23" t="s">
        <v>33</v>
      </c>
      <c r="C266" s="24">
        <v>-5.0</v>
      </c>
      <c r="D266" s="25" t="s">
        <v>720</v>
      </c>
      <c r="E266" s="25" t="s">
        <v>721</v>
      </c>
      <c r="F266" s="23" t="s">
        <v>21</v>
      </c>
      <c r="G266" s="23" t="s">
        <v>21</v>
      </c>
      <c r="H266" s="25" t="s">
        <v>657</v>
      </c>
      <c r="I266" s="23" t="s">
        <v>21</v>
      </c>
      <c r="J266" s="23" t="s">
        <v>22</v>
      </c>
      <c r="K266" s="15" t="s">
        <v>486</v>
      </c>
      <c r="L266" s="24">
        <v>24419.55</v>
      </c>
      <c r="M266" s="23" t="s">
        <v>21</v>
      </c>
      <c r="N266" s="24">
        <v>1.0</v>
      </c>
      <c r="O266" s="24">
        <v>0.0</v>
      </c>
      <c r="P266" s="24">
        <v>24400.0</v>
      </c>
    </row>
    <row r="267">
      <c r="A267" s="23" t="s">
        <v>722</v>
      </c>
      <c r="B267" s="23" t="s">
        <v>35</v>
      </c>
      <c r="C267" s="24">
        <v>0.0</v>
      </c>
      <c r="D267" s="25" t="s">
        <v>723</v>
      </c>
      <c r="E267" s="25" t="s">
        <v>724</v>
      </c>
      <c r="F267" s="23" t="s">
        <v>21</v>
      </c>
      <c r="G267" s="23" t="s">
        <v>21</v>
      </c>
      <c r="H267" s="25" t="s">
        <v>411</v>
      </c>
      <c r="I267" s="23" t="s">
        <v>21</v>
      </c>
      <c r="J267" s="23" t="s">
        <v>22</v>
      </c>
      <c r="K267" s="15" t="s">
        <v>486</v>
      </c>
      <c r="L267" s="24">
        <v>24422.3</v>
      </c>
      <c r="M267" s="23" t="s">
        <v>21</v>
      </c>
      <c r="N267" s="24">
        <v>1.0</v>
      </c>
      <c r="O267" s="24">
        <v>0.0</v>
      </c>
      <c r="P267" s="24">
        <v>24400.0</v>
      </c>
    </row>
    <row r="268">
      <c r="A268" s="23" t="s">
        <v>725</v>
      </c>
      <c r="B268" s="23" t="s">
        <v>35</v>
      </c>
      <c r="C268" s="24">
        <v>15.0</v>
      </c>
      <c r="D268" s="25" t="s">
        <v>726</v>
      </c>
      <c r="E268" s="25" t="s">
        <v>727</v>
      </c>
      <c r="F268" s="23" t="s">
        <v>21</v>
      </c>
      <c r="G268" s="23" t="s">
        <v>21</v>
      </c>
      <c r="H268" s="25" t="s">
        <v>446</v>
      </c>
      <c r="I268" s="23" t="s">
        <v>21</v>
      </c>
      <c r="J268" s="23" t="s">
        <v>22</v>
      </c>
      <c r="K268" s="15" t="s">
        <v>486</v>
      </c>
      <c r="L268" s="24">
        <v>24434.35</v>
      </c>
      <c r="M268" s="23" t="s">
        <v>21</v>
      </c>
      <c r="N268" s="24">
        <v>1.0</v>
      </c>
      <c r="O268" s="24">
        <v>0.0</v>
      </c>
      <c r="P268" s="24">
        <v>24450.0</v>
      </c>
    </row>
    <row r="269">
      <c r="A269" s="23" t="s">
        <v>728</v>
      </c>
      <c r="B269" s="23" t="s">
        <v>33</v>
      </c>
      <c r="C269" s="24">
        <v>-5.0</v>
      </c>
      <c r="D269" s="25" t="s">
        <v>729</v>
      </c>
      <c r="E269" s="25" t="s">
        <v>730</v>
      </c>
      <c r="F269" s="23" t="s">
        <v>21</v>
      </c>
      <c r="G269" s="23" t="s">
        <v>21</v>
      </c>
      <c r="H269" s="25" t="s">
        <v>411</v>
      </c>
      <c r="I269" s="23" t="s">
        <v>21</v>
      </c>
      <c r="J269" s="23" t="s">
        <v>22</v>
      </c>
      <c r="K269" s="15" t="s">
        <v>486</v>
      </c>
      <c r="L269" s="24">
        <v>24434.15</v>
      </c>
      <c r="M269" s="23" t="s">
        <v>21</v>
      </c>
      <c r="N269" s="24">
        <v>1.0</v>
      </c>
      <c r="O269" s="24">
        <v>0.0</v>
      </c>
      <c r="P269" s="24">
        <v>24450.0</v>
      </c>
    </row>
    <row r="270">
      <c r="A270" s="23" t="s">
        <v>731</v>
      </c>
      <c r="B270" s="23" t="s">
        <v>33</v>
      </c>
      <c r="C270" s="24">
        <v>-5.0</v>
      </c>
      <c r="D270" s="25" t="s">
        <v>732</v>
      </c>
      <c r="E270" s="25" t="s">
        <v>733</v>
      </c>
      <c r="F270" s="23" t="s">
        <v>21</v>
      </c>
      <c r="G270" s="23" t="s">
        <v>21</v>
      </c>
      <c r="H270" s="25" t="s">
        <v>446</v>
      </c>
      <c r="I270" s="23" t="s">
        <v>21</v>
      </c>
      <c r="J270" s="23" t="s">
        <v>22</v>
      </c>
      <c r="K270" s="15" t="s">
        <v>486</v>
      </c>
      <c r="L270" s="24">
        <v>24426.95</v>
      </c>
      <c r="M270" s="23" t="s">
        <v>21</v>
      </c>
      <c r="N270" s="24">
        <v>1.0</v>
      </c>
      <c r="O270" s="24">
        <v>0.0</v>
      </c>
      <c r="P270" s="24">
        <v>24450.0</v>
      </c>
    </row>
    <row r="271">
      <c r="A271" s="23" t="s">
        <v>734</v>
      </c>
      <c r="B271" s="23" t="s">
        <v>35</v>
      </c>
      <c r="C271" s="24">
        <v>15.0</v>
      </c>
      <c r="D271" s="25" t="s">
        <v>735</v>
      </c>
      <c r="E271" s="25" t="s">
        <v>736</v>
      </c>
      <c r="F271" s="23" t="s">
        <v>21</v>
      </c>
      <c r="G271" s="23" t="s">
        <v>21</v>
      </c>
      <c r="H271" s="25" t="s">
        <v>657</v>
      </c>
      <c r="I271" s="23" t="s">
        <v>21</v>
      </c>
      <c r="J271" s="23" t="s">
        <v>22</v>
      </c>
      <c r="K271" s="23" t="s">
        <v>486</v>
      </c>
      <c r="L271" s="24">
        <v>24440.05</v>
      </c>
      <c r="M271" s="23" t="s">
        <v>21</v>
      </c>
      <c r="N271" s="24">
        <v>1.0</v>
      </c>
      <c r="O271" s="24">
        <v>0.0</v>
      </c>
      <c r="P271" s="24">
        <v>24450.0</v>
      </c>
    </row>
    <row r="272">
      <c r="A272" s="23" t="s">
        <v>737</v>
      </c>
      <c r="B272" s="23" t="s">
        <v>35</v>
      </c>
      <c r="C272" s="24">
        <v>20.0</v>
      </c>
      <c r="D272" s="25" t="s">
        <v>738</v>
      </c>
      <c r="E272" s="25" t="s">
        <v>739</v>
      </c>
      <c r="F272" s="23" t="s">
        <v>21</v>
      </c>
      <c r="G272" s="23" t="s">
        <v>21</v>
      </c>
      <c r="H272" s="25" t="s">
        <v>740</v>
      </c>
      <c r="I272" s="23" t="s">
        <v>21</v>
      </c>
      <c r="J272" s="23" t="s">
        <v>22</v>
      </c>
      <c r="K272" s="23" t="s">
        <v>486</v>
      </c>
      <c r="L272" s="24">
        <v>24446.2</v>
      </c>
      <c r="M272" s="23" t="s">
        <v>21</v>
      </c>
      <c r="N272" s="24">
        <v>1.0</v>
      </c>
      <c r="O272" s="24">
        <v>0.0</v>
      </c>
      <c r="P272" s="24">
        <v>24450.0</v>
      </c>
    </row>
    <row r="273">
      <c r="A273" s="23" t="s">
        <v>741</v>
      </c>
      <c r="B273" s="23" t="s">
        <v>35</v>
      </c>
      <c r="C273" s="24">
        <v>18.0</v>
      </c>
      <c r="D273" s="25" t="s">
        <v>742</v>
      </c>
      <c r="E273" s="25" t="s">
        <v>610</v>
      </c>
      <c r="F273" s="23" t="s">
        <v>21</v>
      </c>
      <c r="G273" s="23" t="s">
        <v>21</v>
      </c>
      <c r="H273" s="25" t="s">
        <v>269</v>
      </c>
      <c r="I273" s="23" t="s">
        <v>21</v>
      </c>
      <c r="J273" s="23" t="s">
        <v>22</v>
      </c>
      <c r="K273" s="23" t="s">
        <v>412</v>
      </c>
      <c r="L273" s="24">
        <v>24460.35</v>
      </c>
      <c r="M273" s="23" t="s">
        <v>21</v>
      </c>
      <c r="N273" s="24">
        <v>1.0</v>
      </c>
      <c r="O273" s="24">
        <v>0.0</v>
      </c>
      <c r="P273" s="24">
        <v>24450.0</v>
      </c>
    </row>
    <row r="274">
      <c r="A274" s="23" t="s">
        <v>743</v>
      </c>
      <c r="B274" s="23" t="s">
        <v>35</v>
      </c>
      <c r="C274" s="24">
        <v>15.0</v>
      </c>
      <c r="D274" s="25" t="s">
        <v>744</v>
      </c>
      <c r="E274" s="25" t="s">
        <v>745</v>
      </c>
      <c r="F274" s="23" t="s">
        <v>21</v>
      </c>
      <c r="G274" s="23" t="s">
        <v>21</v>
      </c>
      <c r="H274" s="25" t="s">
        <v>283</v>
      </c>
      <c r="I274" s="23" t="s">
        <v>21</v>
      </c>
      <c r="J274" s="23" t="s">
        <v>22</v>
      </c>
      <c r="K274" s="23" t="s">
        <v>486</v>
      </c>
      <c r="L274" s="24">
        <v>24457.4</v>
      </c>
      <c r="M274" s="23" t="s">
        <v>21</v>
      </c>
      <c r="N274" s="24">
        <v>1.0</v>
      </c>
      <c r="O274" s="24">
        <v>0.0</v>
      </c>
      <c r="P274" s="24">
        <v>24450.0</v>
      </c>
    </row>
    <row r="275">
      <c r="A275" s="23" t="s">
        <v>746</v>
      </c>
      <c r="B275" s="23" t="s">
        <v>35</v>
      </c>
      <c r="C275" s="24">
        <v>20.0</v>
      </c>
      <c r="D275" s="25" t="s">
        <v>747</v>
      </c>
      <c r="E275" s="25" t="s">
        <v>748</v>
      </c>
      <c r="F275" s="23" t="s">
        <v>21</v>
      </c>
      <c r="G275" s="23" t="s">
        <v>21</v>
      </c>
      <c r="H275" s="25" t="s">
        <v>327</v>
      </c>
      <c r="I275" s="23" t="s">
        <v>21</v>
      </c>
      <c r="J275" s="23" t="s">
        <v>22</v>
      </c>
      <c r="K275" s="23" t="s">
        <v>658</v>
      </c>
      <c r="L275" s="24">
        <v>24446.1</v>
      </c>
      <c r="M275" s="23" t="s">
        <v>21</v>
      </c>
      <c r="N275" s="24">
        <v>1.0</v>
      </c>
      <c r="O275" s="24">
        <v>0.0</v>
      </c>
      <c r="P275" s="24">
        <v>24450.0</v>
      </c>
    </row>
    <row r="276">
      <c r="A276" s="23" t="s">
        <v>749</v>
      </c>
      <c r="B276" s="23" t="s">
        <v>33</v>
      </c>
      <c r="C276" s="24">
        <v>-5.0</v>
      </c>
      <c r="D276" s="25" t="s">
        <v>750</v>
      </c>
      <c r="E276" s="25" t="s">
        <v>751</v>
      </c>
      <c r="F276" s="23" t="s">
        <v>21</v>
      </c>
      <c r="G276" s="23" t="s">
        <v>21</v>
      </c>
      <c r="H276" s="25" t="s">
        <v>327</v>
      </c>
      <c r="I276" s="23" t="s">
        <v>21</v>
      </c>
      <c r="J276" s="23" t="s">
        <v>22</v>
      </c>
      <c r="K276" s="15" t="s">
        <v>486</v>
      </c>
      <c r="L276" s="24">
        <v>24436.25</v>
      </c>
      <c r="M276" s="23" t="s">
        <v>21</v>
      </c>
      <c r="N276" s="24">
        <v>1.0</v>
      </c>
      <c r="O276" s="24">
        <v>0.0</v>
      </c>
      <c r="P276" s="24">
        <v>24450.0</v>
      </c>
    </row>
    <row r="277">
      <c r="A277" s="23" t="s">
        <v>752</v>
      </c>
      <c r="B277" s="23" t="s">
        <v>33</v>
      </c>
      <c r="C277" s="24">
        <v>-15.0</v>
      </c>
      <c r="D277" s="25" t="s">
        <v>753</v>
      </c>
      <c r="E277" s="25" t="s">
        <v>754</v>
      </c>
      <c r="F277" s="23" t="s">
        <v>21</v>
      </c>
      <c r="G277" s="23" t="s">
        <v>21</v>
      </c>
      <c r="H277" s="25" t="s">
        <v>331</v>
      </c>
      <c r="I277" s="23" t="s">
        <v>21</v>
      </c>
      <c r="J277" s="23" t="s">
        <v>22</v>
      </c>
      <c r="K277" s="15" t="s">
        <v>486</v>
      </c>
      <c r="L277" s="24">
        <v>24432.85</v>
      </c>
      <c r="M277" s="23" t="s">
        <v>21</v>
      </c>
      <c r="N277" s="24">
        <v>1.0</v>
      </c>
      <c r="O277" s="24">
        <v>0.0</v>
      </c>
      <c r="P277" s="24">
        <v>24450.0</v>
      </c>
    </row>
    <row r="278">
      <c r="A278" s="23" t="s">
        <v>755</v>
      </c>
      <c r="B278" s="23" t="s">
        <v>35</v>
      </c>
      <c r="C278" s="24">
        <v>0.0</v>
      </c>
      <c r="D278" s="25" t="s">
        <v>756</v>
      </c>
      <c r="E278" s="25" t="s">
        <v>757</v>
      </c>
      <c r="F278" s="23" t="s">
        <v>21</v>
      </c>
      <c r="G278" s="23" t="s">
        <v>21</v>
      </c>
      <c r="H278" s="25" t="s">
        <v>327</v>
      </c>
      <c r="I278" s="23" t="s">
        <v>21</v>
      </c>
      <c r="J278" s="23" t="s">
        <v>22</v>
      </c>
      <c r="K278" s="15" t="s">
        <v>486</v>
      </c>
      <c r="L278" s="24">
        <v>24438.55</v>
      </c>
      <c r="M278" s="23" t="s">
        <v>21</v>
      </c>
      <c r="N278" s="24">
        <v>1.0</v>
      </c>
      <c r="O278" s="24">
        <v>0.0</v>
      </c>
      <c r="P278" s="24">
        <v>24450.0</v>
      </c>
    </row>
    <row r="279">
      <c r="A279" s="23" t="s">
        <v>758</v>
      </c>
      <c r="B279" s="23" t="s">
        <v>33</v>
      </c>
      <c r="C279" s="24">
        <v>-5.0</v>
      </c>
      <c r="D279" s="25" t="s">
        <v>759</v>
      </c>
      <c r="E279" s="25" t="s">
        <v>760</v>
      </c>
      <c r="F279" s="23" t="s">
        <v>21</v>
      </c>
      <c r="G279" s="23" t="s">
        <v>21</v>
      </c>
      <c r="H279" s="25" t="s">
        <v>439</v>
      </c>
      <c r="I279" s="23" t="s">
        <v>21</v>
      </c>
      <c r="J279" s="23" t="s">
        <v>22</v>
      </c>
      <c r="K279" s="15" t="s">
        <v>486</v>
      </c>
      <c r="L279" s="24">
        <v>24424.35</v>
      </c>
      <c r="M279" s="23" t="s">
        <v>21</v>
      </c>
      <c r="N279" s="24">
        <v>1.0</v>
      </c>
      <c r="O279" s="24">
        <v>0.0</v>
      </c>
      <c r="P279" s="24">
        <v>24400.0</v>
      </c>
    </row>
    <row r="280">
      <c r="A280" s="23" t="s">
        <v>761</v>
      </c>
      <c r="B280" s="23" t="s">
        <v>35</v>
      </c>
      <c r="C280" s="24">
        <v>25.0</v>
      </c>
      <c r="D280" s="25" t="s">
        <v>553</v>
      </c>
      <c r="E280" s="25" t="s">
        <v>762</v>
      </c>
      <c r="F280" s="23" t="s">
        <v>21</v>
      </c>
      <c r="G280" s="23" t="s">
        <v>21</v>
      </c>
      <c r="H280" s="25" t="s">
        <v>262</v>
      </c>
      <c r="I280" s="23" t="s">
        <v>21</v>
      </c>
      <c r="J280" s="23" t="s">
        <v>22</v>
      </c>
      <c r="K280" s="15" t="s">
        <v>486</v>
      </c>
      <c r="L280" s="24">
        <v>24448.45</v>
      </c>
      <c r="M280" s="23" t="s">
        <v>21</v>
      </c>
      <c r="N280" s="24">
        <v>1.0</v>
      </c>
      <c r="O280" s="24">
        <v>0.0</v>
      </c>
      <c r="P280" s="24">
        <v>24450.0</v>
      </c>
    </row>
    <row r="281">
      <c r="A281" s="23" t="s">
        <v>763</v>
      </c>
      <c r="B281" s="23" t="s">
        <v>35</v>
      </c>
      <c r="C281" s="24">
        <v>30.0</v>
      </c>
      <c r="D281" s="25" t="s">
        <v>764</v>
      </c>
      <c r="E281" s="25" t="s">
        <v>765</v>
      </c>
      <c r="F281" s="23" t="s">
        <v>21</v>
      </c>
      <c r="G281" s="23" t="s">
        <v>21</v>
      </c>
      <c r="H281" s="25" t="s">
        <v>283</v>
      </c>
      <c r="I281" s="23" t="s">
        <v>21</v>
      </c>
      <c r="J281" s="23" t="s">
        <v>22</v>
      </c>
      <c r="K281" s="15" t="s">
        <v>486</v>
      </c>
      <c r="L281" s="24">
        <v>24457.4</v>
      </c>
      <c r="M281" s="23" t="s">
        <v>21</v>
      </c>
      <c r="N281" s="24">
        <v>1.0</v>
      </c>
      <c r="O281" s="24">
        <v>0.0</v>
      </c>
      <c r="P281" s="24">
        <v>24450.0</v>
      </c>
    </row>
    <row r="282">
      <c r="A282" s="23" t="s">
        <v>766</v>
      </c>
      <c r="B282" s="23" t="s">
        <v>35</v>
      </c>
      <c r="C282" s="24">
        <v>30.0</v>
      </c>
      <c r="D282" s="25" t="s">
        <v>767</v>
      </c>
      <c r="E282" s="25" t="s">
        <v>768</v>
      </c>
      <c r="F282" s="23" t="s">
        <v>21</v>
      </c>
      <c r="G282" s="23" t="s">
        <v>21</v>
      </c>
      <c r="H282" s="25" t="s">
        <v>279</v>
      </c>
      <c r="I282" s="23" t="s">
        <v>21</v>
      </c>
      <c r="J282" s="23" t="s">
        <v>22</v>
      </c>
      <c r="K282" s="15" t="s">
        <v>486</v>
      </c>
      <c r="L282" s="24">
        <v>24457.35</v>
      </c>
      <c r="M282" s="23" t="s">
        <v>21</v>
      </c>
      <c r="N282" s="24">
        <v>1.0</v>
      </c>
      <c r="O282" s="24">
        <v>0.0</v>
      </c>
      <c r="P282" s="24">
        <v>24450.0</v>
      </c>
    </row>
    <row r="283">
      <c r="A283" s="23" t="s">
        <v>769</v>
      </c>
      <c r="B283" s="23" t="s">
        <v>33</v>
      </c>
      <c r="C283" s="24">
        <v>-5.0</v>
      </c>
      <c r="D283" s="25" t="s">
        <v>770</v>
      </c>
      <c r="E283" s="25" t="s">
        <v>771</v>
      </c>
      <c r="F283" s="23" t="s">
        <v>21</v>
      </c>
      <c r="G283" s="23" t="s">
        <v>21</v>
      </c>
      <c r="H283" s="25" t="s">
        <v>269</v>
      </c>
      <c r="I283" s="23" t="s">
        <v>21</v>
      </c>
      <c r="J283" s="23" t="s">
        <v>22</v>
      </c>
      <c r="K283" s="15" t="s">
        <v>486</v>
      </c>
      <c r="L283" s="24">
        <v>24430.55</v>
      </c>
      <c r="M283" s="23" t="s">
        <v>21</v>
      </c>
      <c r="N283" s="24">
        <v>1.0</v>
      </c>
      <c r="O283" s="24">
        <v>0.0</v>
      </c>
      <c r="P283" s="24">
        <v>24450.0</v>
      </c>
    </row>
    <row r="284">
      <c r="A284" s="23" t="s">
        <v>772</v>
      </c>
      <c r="B284" s="23" t="s">
        <v>33</v>
      </c>
      <c r="C284" s="24">
        <v>-5.0</v>
      </c>
      <c r="D284" s="25" t="s">
        <v>773</v>
      </c>
      <c r="E284" s="25" t="s">
        <v>774</v>
      </c>
      <c r="F284" s="23" t="s">
        <v>21</v>
      </c>
      <c r="G284" s="23" t="s">
        <v>21</v>
      </c>
      <c r="H284" s="25" t="s">
        <v>258</v>
      </c>
      <c r="I284" s="23" t="s">
        <v>21</v>
      </c>
      <c r="J284" s="23" t="s">
        <v>22</v>
      </c>
      <c r="K284" s="15" t="s">
        <v>486</v>
      </c>
      <c r="L284" s="24">
        <v>24427.5</v>
      </c>
      <c r="M284" s="23" t="s">
        <v>21</v>
      </c>
      <c r="N284" s="24">
        <v>1.0</v>
      </c>
      <c r="O284" s="24">
        <v>0.0</v>
      </c>
      <c r="P284" s="24">
        <v>24450.0</v>
      </c>
    </row>
    <row r="285">
      <c r="A285" s="23" t="s">
        <v>775</v>
      </c>
      <c r="B285" s="23" t="s">
        <v>35</v>
      </c>
      <c r="C285" s="24">
        <v>5.0</v>
      </c>
      <c r="D285" s="25" t="s">
        <v>776</v>
      </c>
      <c r="E285" s="25" t="s">
        <v>777</v>
      </c>
      <c r="F285" s="23" t="s">
        <v>21</v>
      </c>
      <c r="G285" s="23" t="s">
        <v>21</v>
      </c>
      <c r="H285" s="25" t="s">
        <v>740</v>
      </c>
      <c r="I285" s="23" t="s">
        <v>21</v>
      </c>
      <c r="J285" s="23" t="s">
        <v>22</v>
      </c>
      <c r="K285" s="15" t="s">
        <v>486</v>
      </c>
      <c r="L285" s="24">
        <v>24421.8</v>
      </c>
      <c r="M285" s="23" t="s">
        <v>21</v>
      </c>
      <c r="N285" s="24">
        <v>1.0</v>
      </c>
      <c r="O285" s="24">
        <v>0.0</v>
      </c>
      <c r="P285" s="24">
        <v>24400.0</v>
      </c>
    </row>
    <row r="286">
      <c r="A286" s="23" t="s">
        <v>778</v>
      </c>
      <c r="B286" s="23" t="s">
        <v>33</v>
      </c>
      <c r="C286" s="24">
        <v>-5.0</v>
      </c>
      <c r="D286" s="25" t="s">
        <v>779</v>
      </c>
      <c r="E286" s="25" t="s">
        <v>540</v>
      </c>
      <c r="F286" s="23" t="s">
        <v>21</v>
      </c>
      <c r="G286" s="23" t="s">
        <v>21</v>
      </c>
      <c r="H286" s="25" t="s">
        <v>258</v>
      </c>
      <c r="I286" s="23" t="s">
        <v>21</v>
      </c>
      <c r="J286" s="23" t="s">
        <v>22</v>
      </c>
      <c r="K286" s="15" t="s">
        <v>486</v>
      </c>
      <c r="L286" s="24">
        <v>24431.6</v>
      </c>
      <c r="M286" s="23" t="s">
        <v>21</v>
      </c>
      <c r="N286" s="24">
        <v>1.0</v>
      </c>
      <c r="O286" s="24">
        <v>0.0</v>
      </c>
      <c r="P286" s="24">
        <v>24450.0</v>
      </c>
    </row>
    <row r="287">
      <c r="A287" s="23" t="s">
        <v>780</v>
      </c>
      <c r="B287" s="23" t="s">
        <v>33</v>
      </c>
      <c r="C287" s="24">
        <v>-15.0</v>
      </c>
      <c r="D287" s="25" t="s">
        <v>781</v>
      </c>
      <c r="E287" s="25" t="s">
        <v>782</v>
      </c>
      <c r="F287" s="23" t="s">
        <v>21</v>
      </c>
      <c r="G287" s="23" t="s">
        <v>21</v>
      </c>
      <c r="H287" s="25" t="s">
        <v>269</v>
      </c>
      <c r="I287" s="23" t="s">
        <v>21</v>
      </c>
      <c r="J287" s="23" t="s">
        <v>22</v>
      </c>
      <c r="K287" s="15" t="s">
        <v>486</v>
      </c>
      <c r="L287" s="24">
        <v>24427.35</v>
      </c>
      <c r="M287" s="23" t="s">
        <v>21</v>
      </c>
      <c r="N287" s="24">
        <v>1.0</v>
      </c>
      <c r="O287" s="24">
        <v>0.0</v>
      </c>
      <c r="P287" s="24">
        <v>24450.0</v>
      </c>
    </row>
    <row r="288">
      <c r="A288" s="23" t="s">
        <v>783</v>
      </c>
      <c r="B288" s="23" t="s">
        <v>33</v>
      </c>
      <c r="C288" s="24">
        <v>-17.0</v>
      </c>
      <c r="D288" s="25" t="s">
        <v>688</v>
      </c>
      <c r="E288" s="25" t="s">
        <v>784</v>
      </c>
      <c r="F288" s="23" t="s">
        <v>21</v>
      </c>
      <c r="G288" s="23" t="s">
        <v>21</v>
      </c>
      <c r="H288" s="25" t="s">
        <v>439</v>
      </c>
      <c r="I288" s="23" t="s">
        <v>21</v>
      </c>
      <c r="J288" s="23" t="s">
        <v>22</v>
      </c>
      <c r="K288" s="23" t="s">
        <v>412</v>
      </c>
      <c r="L288" s="24">
        <v>24411.3</v>
      </c>
      <c r="M288" s="23" t="s">
        <v>21</v>
      </c>
      <c r="N288" s="24">
        <v>1.0</v>
      </c>
      <c r="O288" s="24">
        <v>0.0</v>
      </c>
      <c r="P288" s="24">
        <v>24400.0</v>
      </c>
    </row>
    <row r="289">
      <c r="A289" s="23" t="s">
        <v>785</v>
      </c>
      <c r="B289" s="23" t="s">
        <v>35</v>
      </c>
      <c r="C289" s="24">
        <v>5.0</v>
      </c>
      <c r="D289" s="25" t="s">
        <v>786</v>
      </c>
      <c r="E289" s="25" t="s">
        <v>787</v>
      </c>
      <c r="F289" s="23" t="s">
        <v>21</v>
      </c>
      <c r="G289" s="23" t="s">
        <v>21</v>
      </c>
      <c r="H289" s="25" t="s">
        <v>293</v>
      </c>
      <c r="I289" s="23" t="s">
        <v>21</v>
      </c>
      <c r="J289" s="23" t="s">
        <v>22</v>
      </c>
      <c r="K289" s="23" t="s">
        <v>486</v>
      </c>
      <c r="L289" s="24">
        <v>24431.65</v>
      </c>
      <c r="M289" s="23" t="s">
        <v>21</v>
      </c>
      <c r="N289" s="24">
        <v>1.0</v>
      </c>
      <c r="O289" s="24">
        <v>0.0</v>
      </c>
      <c r="P289" s="24">
        <v>24450.0</v>
      </c>
    </row>
    <row r="290">
      <c r="A290" s="23" t="s">
        <v>788</v>
      </c>
      <c r="B290" s="23" t="s">
        <v>35</v>
      </c>
      <c r="C290" s="24">
        <v>0.0</v>
      </c>
      <c r="D290" s="25" t="s">
        <v>789</v>
      </c>
      <c r="E290" s="25" t="s">
        <v>790</v>
      </c>
      <c r="F290" s="23" t="s">
        <v>21</v>
      </c>
      <c r="G290" s="23" t="s">
        <v>21</v>
      </c>
      <c r="H290" s="25" t="s">
        <v>303</v>
      </c>
      <c r="I290" s="23" t="s">
        <v>21</v>
      </c>
      <c r="J290" s="23" t="s">
        <v>22</v>
      </c>
      <c r="K290" s="23" t="s">
        <v>486</v>
      </c>
      <c r="L290" s="24">
        <v>24425.3</v>
      </c>
      <c r="M290" s="23" t="s">
        <v>21</v>
      </c>
      <c r="N290" s="24">
        <v>1.0</v>
      </c>
      <c r="O290" s="24">
        <v>0.0</v>
      </c>
      <c r="P290" s="24">
        <v>24450.0</v>
      </c>
    </row>
    <row r="291">
      <c r="A291" s="23" t="s">
        <v>791</v>
      </c>
      <c r="B291" s="23" t="s">
        <v>33</v>
      </c>
      <c r="C291" s="24">
        <v>-15.0</v>
      </c>
      <c r="D291" s="25" t="s">
        <v>792</v>
      </c>
      <c r="E291" s="25" t="s">
        <v>793</v>
      </c>
      <c r="F291" s="23" t="s">
        <v>21</v>
      </c>
      <c r="G291" s="23" t="s">
        <v>21</v>
      </c>
      <c r="H291" s="25" t="s">
        <v>307</v>
      </c>
      <c r="I291" s="23" t="s">
        <v>21</v>
      </c>
      <c r="J291" s="23" t="s">
        <v>22</v>
      </c>
      <c r="K291" s="23" t="s">
        <v>486</v>
      </c>
      <c r="L291" s="24">
        <v>24399.3</v>
      </c>
      <c r="M291" s="23" t="s">
        <v>21</v>
      </c>
      <c r="N291" s="24">
        <v>1.0</v>
      </c>
      <c r="O291" s="24">
        <v>0.0</v>
      </c>
      <c r="P291" s="24">
        <v>24400.0</v>
      </c>
    </row>
    <row r="292">
      <c r="A292" s="23" t="s">
        <v>794</v>
      </c>
      <c r="B292" s="23" t="s">
        <v>33</v>
      </c>
      <c r="C292" s="24">
        <v>-8.0</v>
      </c>
      <c r="D292" s="25" t="s">
        <v>795</v>
      </c>
      <c r="E292" s="25" t="s">
        <v>310</v>
      </c>
      <c r="F292" s="23" t="s">
        <v>21</v>
      </c>
      <c r="G292" s="23" t="s">
        <v>21</v>
      </c>
      <c r="H292" s="25" t="s">
        <v>439</v>
      </c>
      <c r="I292" s="23" t="s">
        <v>21</v>
      </c>
      <c r="J292" s="23" t="s">
        <v>22</v>
      </c>
      <c r="K292" s="23" t="s">
        <v>457</v>
      </c>
      <c r="L292" s="24">
        <v>24401.55</v>
      </c>
      <c r="M292" s="23" t="s">
        <v>21</v>
      </c>
      <c r="N292" s="24">
        <v>1.0</v>
      </c>
      <c r="O292" s="24">
        <v>0.0</v>
      </c>
      <c r="P292" s="24">
        <v>24400.0</v>
      </c>
    </row>
    <row r="293">
      <c r="A293" s="23" t="s">
        <v>796</v>
      </c>
      <c r="B293" s="23" t="s">
        <v>33</v>
      </c>
      <c r="C293" s="24">
        <v>-12.0</v>
      </c>
      <c r="D293" s="25" t="s">
        <v>590</v>
      </c>
      <c r="E293" s="25" t="s">
        <v>797</v>
      </c>
      <c r="F293" s="23" t="s">
        <v>21</v>
      </c>
      <c r="G293" s="23" t="s">
        <v>21</v>
      </c>
      <c r="H293" s="25" t="s">
        <v>740</v>
      </c>
      <c r="I293" s="23" t="s">
        <v>21</v>
      </c>
      <c r="J293" s="23" t="s">
        <v>22</v>
      </c>
      <c r="K293" s="23" t="s">
        <v>412</v>
      </c>
      <c r="L293" s="24">
        <v>24409.0</v>
      </c>
      <c r="M293" s="23" t="s">
        <v>21</v>
      </c>
      <c r="N293" s="24">
        <v>1.0</v>
      </c>
      <c r="O293" s="24">
        <v>0.0</v>
      </c>
      <c r="P293" s="24">
        <v>24400.0</v>
      </c>
    </row>
    <row r="294">
      <c r="A294" s="23" t="s">
        <v>798</v>
      </c>
      <c r="B294" s="23" t="s">
        <v>35</v>
      </c>
      <c r="C294" s="24">
        <v>10.0</v>
      </c>
      <c r="D294" s="25" t="s">
        <v>799</v>
      </c>
      <c r="E294" s="25" t="s">
        <v>800</v>
      </c>
      <c r="F294" s="23" t="s">
        <v>21</v>
      </c>
      <c r="G294" s="23" t="s">
        <v>21</v>
      </c>
      <c r="H294" s="25" t="s">
        <v>303</v>
      </c>
      <c r="I294" s="23" t="s">
        <v>21</v>
      </c>
      <c r="J294" s="23" t="s">
        <v>22</v>
      </c>
      <c r="K294" s="15" t="s">
        <v>486</v>
      </c>
      <c r="L294" s="24">
        <v>24417.3</v>
      </c>
      <c r="M294" s="23" t="s">
        <v>21</v>
      </c>
      <c r="N294" s="24">
        <v>1.0</v>
      </c>
      <c r="O294" s="24">
        <v>0.0</v>
      </c>
      <c r="P294" s="24">
        <v>24400.0</v>
      </c>
    </row>
    <row r="295">
      <c r="A295" s="23" t="s">
        <v>801</v>
      </c>
      <c r="B295" s="23" t="s">
        <v>35</v>
      </c>
      <c r="C295" s="24">
        <v>0.0</v>
      </c>
      <c r="D295" s="25" t="s">
        <v>802</v>
      </c>
      <c r="E295" s="25" t="s">
        <v>803</v>
      </c>
      <c r="F295" s="23" t="s">
        <v>21</v>
      </c>
      <c r="G295" s="23" t="s">
        <v>21</v>
      </c>
      <c r="H295" s="25" t="s">
        <v>303</v>
      </c>
      <c r="I295" s="23" t="s">
        <v>21</v>
      </c>
      <c r="J295" s="23" t="s">
        <v>22</v>
      </c>
      <c r="K295" s="15" t="s">
        <v>486</v>
      </c>
      <c r="L295" s="24">
        <v>24415.35</v>
      </c>
      <c r="M295" s="23" t="s">
        <v>21</v>
      </c>
      <c r="N295" s="24">
        <v>1.0</v>
      </c>
      <c r="O295" s="24">
        <v>0.0</v>
      </c>
      <c r="P295" s="24">
        <v>24400.0</v>
      </c>
    </row>
    <row r="296">
      <c r="A296" s="23" t="s">
        <v>804</v>
      </c>
      <c r="B296" s="23" t="s">
        <v>35</v>
      </c>
      <c r="C296" s="24">
        <v>12.0</v>
      </c>
      <c r="D296" s="25" t="s">
        <v>805</v>
      </c>
      <c r="E296" s="25" t="s">
        <v>806</v>
      </c>
      <c r="F296" s="23" t="s">
        <v>21</v>
      </c>
      <c r="G296" s="23" t="s">
        <v>21</v>
      </c>
      <c r="H296" s="25" t="s">
        <v>303</v>
      </c>
      <c r="I296" s="23" t="s">
        <v>21</v>
      </c>
      <c r="J296" s="23" t="s">
        <v>22</v>
      </c>
      <c r="K296" s="15" t="s">
        <v>457</v>
      </c>
      <c r="L296" s="24">
        <v>24408.3</v>
      </c>
      <c r="M296" s="23" t="s">
        <v>21</v>
      </c>
      <c r="N296" s="24">
        <v>1.0</v>
      </c>
      <c r="O296" s="24">
        <v>0.0</v>
      </c>
      <c r="P296" s="24">
        <v>24400.0</v>
      </c>
    </row>
    <row r="297">
      <c r="A297" s="23" t="s">
        <v>807</v>
      </c>
      <c r="B297" s="23" t="s">
        <v>35</v>
      </c>
      <c r="C297" s="24">
        <v>0.0</v>
      </c>
      <c r="D297" s="25" t="s">
        <v>808</v>
      </c>
      <c r="E297" s="25" t="s">
        <v>809</v>
      </c>
      <c r="F297" s="23" t="s">
        <v>21</v>
      </c>
      <c r="G297" s="23" t="s">
        <v>21</v>
      </c>
      <c r="H297" s="25" t="s">
        <v>303</v>
      </c>
      <c r="I297" s="23" t="s">
        <v>21</v>
      </c>
      <c r="J297" s="23" t="s">
        <v>22</v>
      </c>
      <c r="K297" s="15" t="s">
        <v>486</v>
      </c>
      <c r="L297" s="24">
        <v>24405.6</v>
      </c>
      <c r="M297" s="23" t="s">
        <v>21</v>
      </c>
      <c r="N297" s="24">
        <v>1.0</v>
      </c>
      <c r="O297" s="24">
        <v>0.0</v>
      </c>
      <c r="P297" s="24">
        <v>24400.0</v>
      </c>
    </row>
    <row r="298">
      <c r="A298" s="23" t="s">
        <v>810</v>
      </c>
      <c r="B298" s="23" t="s">
        <v>33</v>
      </c>
      <c r="C298" s="24">
        <v>-5.0</v>
      </c>
      <c r="D298" s="25" t="s">
        <v>811</v>
      </c>
      <c r="E298" s="25" t="s">
        <v>812</v>
      </c>
      <c r="F298" s="23" t="s">
        <v>21</v>
      </c>
      <c r="G298" s="23" t="s">
        <v>21</v>
      </c>
      <c r="H298" s="25" t="s">
        <v>450</v>
      </c>
      <c r="I298" s="23" t="s">
        <v>21</v>
      </c>
      <c r="J298" s="23" t="s">
        <v>22</v>
      </c>
      <c r="K298" s="15" t="s">
        <v>486</v>
      </c>
      <c r="L298" s="24">
        <v>24392.5</v>
      </c>
      <c r="M298" s="23" t="s">
        <v>21</v>
      </c>
      <c r="N298" s="24">
        <v>1.0</v>
      </c>
      <c r="O298" s="24">
        <v>0.0</v>
      </c>
      <c r="P298" s="24">
        <v>24400.0</v>
      </c>
    </row>
    <row r="299">
      <c r="A299" s="26" t="s">
        <v>813</v>
      </c>
      <c r="B299" s="26" t="s">
        <v>35</v>
      </c>
      <c r="C299" s="27">
        <v>15.0</v>
      </c>
      <c r="D299" s="28" t="s">
        <v>814</v>
      </c>
      <c r="E299" s="28" t="s">
        <v>815</v>
      </c>
      <c r="F299" s="26" t="s">
        <v>21</v>
      </c>
      <c r="G299" s="26" t="s">
        <v>21</v>
      </c>
      <c r="H299" s="28" t="s">
        <v>657</v>
      </c>
      <c r="I299" s="26" t="s">
        <v>21</v>
      </c>
      <c r="J299" s="26" t="s">
        <v>22</v>
      </c>
      <c r="K299" s="15" t="s">
        <v>486</v>
      </c>
      <c r="L299" s="27">
        <v>24377.05</v>
      </c>
      <c r="M299" s="26" t="s">
        <v>21</v>
      </c>
      <c r="N299" s="27">
        <v>1.0</v>
      </c>
      <c r="O299" s="27">
        <v>0.0</v>
      </c>
      <c r="P299" s="27">
        <v>24400.0</v>
      </c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>
      <c r="A300" s="23" t="s">
        <v>816</v>
      </c>
      <c r="B300" s="23" t="s">
        <v>33</v>
      </c>
      <c r="C300" s="24">
        <v>-5.0</v>
      </c>
      <c r="D300" s="25" t="s">
        <v>817</v>
      </c>
      <c r="E300" s="25" t="s">
        <v>818</v>
      </c>
      <c r="F300" s="23" t="s">
        <v>21</v>
      </c>
      <c r="G300" s="23" t="s">
        <v>21</v>
      </c>
      <c r="H300" s="25" t="s">
        <v>215</v>
      </c>
      <c r="I300" s="23" t="s">
        <v>21</v>
      </c>
      <c r="J300" s="23" t="s">
        <v>22</v>
      </c>
      <c r="K300" s="15" t="s">
        <v>486</v>
      </c>
      <c r="L300" s="24">
        <v>24349.9</v>
      </c>
      <c r="M300" s="23" t="s">
        <v>21</v>
      </c>
      <c r="N300" s="24">
        <v>1.0</v>
      </c>
      <c r="O300" s="24">
        <v>0.0</v>
      </c>
      <c r="P300" s="24">
        <v>24350.0</v>
      </c>
    </row>
    <row r="301">
      <c r="A301" s="23" t="s">
        <v>819</v>
      </c>
      <c r="B301" s="23" t="s">
        <v>33</v>
      </c>
      <c r="C301" s="24">
        <v>-5.0</v>
      </c>
      <c r="D301" s="25" t="s">
        <v>820</v>
      </c>
      <c r="E301" s="25" t="s">
        <v>821</v>
      </c>
      <c r="F301" s="23" t="s">
        <v>21</v>
      </c>
      <c r="G301" s="23" t="s">
        <v>21</v>
      </c>
      <c r="H301" s="25" t="s">
        <v>215</v>
      </c>
      <c r="I301" s="23" t="s">
        <v>21</v>
      </c>
      <c r="J301" s="23" t="s">
        <v>22</v>
      </c>
      <c r="K301" s="15" t="s">
        <v>486</v>
      </c>
      <c r="L301" s="24">
        <v>24347.2</v>
      </c>
      <c r="M301" s="23" t="s">
        <v>21</v>
      </c>
      <c r="N301" s="24">
        <v>1.0</v>
      </c>
      <c r="O301" s="24">
        <v>0.0</v>
      </c>
      <c r="P301" s="24">
        <v>24350.0</v>
      </c>
    </row>
    <row r="302">
      <c r="A302" s="33" t="s">
        <v>822</v>
      </c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>
      <c r="A303" s="23" t="s">
        <v>823</v>
      </c>
      <c r="B303" s="23" t="s">
        <v>35</v>
      </c>
      <c r="C303" s="24">
        <v>2.0</v>
      </c>
      <c r="D303" s="25" t="s">
        <v>824</v>
      </c>
      <c r="E303" s="25" t="s">
        <v>825</v>
      </c>
      <c r="F303" s="23" t="s">
        <v>826</v>
      </c>
      <c r="G303" s="23" t="s">
        <v>399</v>
      </c>
      <c r="H303" s="25" t="s">
        <v>827</v>
      </c>
      <c r="I303" s="23" t="s">
        <v>828</v>
      </c>
      <c r="J303" s="23" t="s">
        <v>22</v>
      </c>
      <c r="K303" s="23" t="s">
        <v>486</v>
      </c>
      <c r="L303" s="24">
        <v>24363.3</v>
      </c>
      <c r="M303" s="23" t="s">
        <v>21</v>
      </c>
      <c r="N303" s="24">
        <v>1.0</v>
      </c>
      <c r="O303" s="24">
        <v>0.0</v>
      </c>
      <c r="P303" s="24">
        <v>24350.0</v>
      </c>
    </row>
    <row r="308">
      <c r="A308" s="35"/>
    </row>
    <row r="309">
      <c r="A309" s="35"/>
    </row>
    <row r="310">
      <c r="A310" s="35"/>
    </row>
    <row r="311">
      <c r="A311" s="35"/>
    </row>
    <row r="312">
      <c r="A312" s="35"/>
    </row>
    <row r="313">
      <c r="A313" s="35"/>
    </row>
    <row r="314">
      <c r="A314" s="35"/>
    </row>
    <row r="315">
      <c r="A315" s="35"/>
    </row>
    <row r="316">
      <c r="A316" s="35"/>
    </row>
    <row r="317">
      <c r="A317" s="35"/>
    </row>
    <row r="318">
      <c r="A318" s="35"/>
    </row>
    <row r="319">
      <c r="A319" s="35"/>
    </row>
    <row r="320">
      <c r="A320" s="35"/>
    </row>
    <row r="321">
      <c r="A321" s="35"/>
    </row>
    <row r="322">
      <c r="A322" s="35"/>
    </row>
    <row r="323">
      <c r="A323" s="35"/>
    </row>
    <row r="324">
      <c r="A324" s="35"/>
    </row>
    <row r="325">
      <c r="A325" s="35"/>
    </row>
    <row r="326">
      <c r="A326" s="35"/>
    </row>
    <row r="327">
      <c r="A327" s="35"/>
    </row>
    <row r="328">
      <c r="A328" s="35"/>
    </row>
    <row r="329">
      <c r="A329" s="35"/>
    </row>
    <row r="330">
      <c r="A330" s="35"/>
    </row>
    <row r="331">
      <c r="A331" s="35"/>
    </row>
    <row r="332">
      <c r="A332" s="35"/>
    </row>
    <row r="333">
      <c r="A333" s="35"/>
    </row>
    <row r="334">
      <c r="A334" s="35"/>
    </row>
    <row r="335">
      <c r="A335" s="35"/>
    </row>
    <row r="336">
      <c r="A336" s="35"/>
    </row>
    <row r="337">
      <c r="A337" s="35"/>
    </row>
    <row r="338">
      <c r="A338" s="35"/>
    </row>
    <row r="339">
      <c r="A339" s="35"/>
    </row>
    <row r="340">
      <c r="A340" s="35"/>
    </row>
    <row r="341">
      <c r="A341" s="35"/>
    </row>
    <row r="342">
      <c r="A342" s="35"/>
    </row>
    <row r="343">
      <c r="A343" s="35"/>
    </row>
    <row r="344">
      <c r="A344" s="35"/>
    </row>
    <row r="345">
      <c r="A345" s="35"/>
    </row>
    <row r="346">
      <c r="A346" s="35"/>
    </row>
    <row r="347">
      <c r="A347" s="35"/>
    </row>
    <row r="348">
      <c r="A348" s="35"/>
    </row>
    <row r="349">
      <c r="A349" s="35"/>
    </row>
    <row r="350">
      <c r="A350" s="35"/>
    </row>
    <row r="351">
      <c r="A351" s="35"/>
    </row>
    <row r="352">
      <c r="A352" s="35"/>
    </row>
    <row r="353">
      <c r="A353" s="35"/>
    </row>
    <row r="354">
      <c r="A354" s="35"/>
    </row>
    <row r="355">
      <c r="A355" s="35"/>
    </row>
    <row r="356">
      <c r="A356" s="35"/>
    </row>
    <row r="357">
      <c r="A357" s="35"/>
    </row>
    <row r="358">
      <c r="A358" s="35"/>
    </row>
    <row r="359">
      <c r="A359" s="35"/>
    </row>
    <row r="360">
      <c r="A360" s="35"/>
    </row>
    <row r="361">
      <c r="A361" s="35"/>
    </row>
    <row r="362">
      <c r="A362" s="35"/>
    </row>
    <row r="363">
      <c r="A363" s="35"/>
    </row>
    <row r="364">
      <c r="A364" s="35"/>
    </row>
    <row r="365">
      <c r="A365" s="35"/>
    </row>
    <row r="366">
      <c r="A366" s="35"/>
    </row>
    <row r="367">
      <c r="A367" s="35"/>
    </row>
    <row r="368">
      <c r="A368" s="35"/>
    </row>
    <row r="369">
      <c r="A369" s="35"/>
    </row>
    <row r="370">
      <c r="A370" s="35"/>
    </row>
    <row r="371">
      <c r="A371" s="35"/>
    </row>
    <row r="372">
      <c r="A372" s="35"/>
    </row>
    <row r="373">
      <c r="A373" s="35"/>
    </row>
    <row r="374">
      <c r="A374" s="35"/>
    </row>
    <row r="375">
      <c r="A375" s="35"/>
    </row>
    <row r="376">
      <c r="A376" s="35"/>
    </row>
    <row r="377">
      <c r="A377" s="35"/>
    </row>
    <row r="378">
      <c r="A378" s="35"/>
    </row>
    <row r="379">
      <c r="A379" s="35"/>
    </row>
    <row r="380">
      <c r="A380" s="35"/>
    </row>
    <row r="381">
      <c r="A381" s="35"/>
    </row>
    <row r="382">
      <c r="A382" s="35"/>
    </row>
    <row r="383">
      <c r="A383" s="35"/>
    </row>
    <row r="384">
      <c r="A384" s="35"/>
    </row>
    <row r="385">
      <c r="A385" s="35"/>
    </row>
    <row r="386">
      <c r="A386" s="35"/>
    </row>
    <row r="387">
      <c r="A387" s="35"/>
    </row>
    <row r="388">
      <c r="A388" s="35"/>
    </row>
    <row r="389">
      <c r="A389" s="35"/>
    </row>
    <row r="390">
      <c r="A390" s="35"/>
    </row>
    <row r="391">
      <c r="A391" s="35"/>
    </row>
    <row r="392">
      <c r="A392" s="35"/>
    </row>
    <row r="393">
      <c r="A393" s="35"/>
    </row>
    <row r="394">
      <c r="A394" s="35"/>
    </row>
    <row r="395">
      <c r="A395" s="35"/>
    </row>
    <row r="396">
      <c r="A396" s="35"/>
    </row>
    <row r="397">
      <c r="A397" s="35"/>
    </row>
    <row r="398">
      <c r="A398" s="35"/>
    </row>
    <row r="399">
      <c r="A399" s="35"/>
    </row>
    <row r="400">
      <c r="A400" s="35"/>
    </row>
    <row r="401">
      <c r="A401" s="35"/>
    </row>
    <row r="402">
      <c r="A402" s="35"/>
    </row>
    <row r="403">
      <c r="A403" s="35"/>
    </row>
    <row r="404">
      <c r="A404" s="35"/>
    </row>
    <row r="405">
      <c r="A405" s="35"/>
    </row>
    <row r="406">
      <c r="A406" s="35"/>
    </row>
    <row r="407">
      <c r="A407" s="35"/>
    </row>
    <row r="408">
      <c r="A408" s="35"/>
    </row>
    <row r="409">
      <c r="A409" s="35"/>
    </row>
    <row r="410">
      <c r="A410" s="35"/>
    </row>
    <row r="411">
      <c r="A411" s="35"/>
    </row>
    <row r="412">
      <c r="A412" s="35"/>
    </row>
    <row r="413">
      <c r="A413" s="35"/>
    </row>
    <row r="414">
      <c r="A414" s="35"/>
    </row>
    <row r="415">
      <c r="A415" s="35"/>
    </row>
    <row r="416">
      <c r="A416" s="35"/>
    </row>
    <row r="417">
      <c r="A417" s="35"/>
    </row>
    <row r="418">
      <c r="A418" s="35"/>
    </row>
    <row r="419">
      <c r="A419" s="35"/>
    </row>
    <row r="420">
      <c r="A420" s="35"/>
    </row>
    <row r="421">
      <c r="A421" s="35"/>
    </row>
    <row r="422">
      <c r="A422" s="35"/>
    </row>
    <row r="423">
      <c r="A423" s="35"/>
    </row>
    <row r="424">
      <c r="A424" s="35"/>
    </row>
    <row r="425">
      <c r="A425" s="35"/>
    </row>
    <row r="426">
      <c r="A426" s="35"/>
    </row>
    <row r="427">
      <c r="A427" s="35"/>
    </row>
    <row r="428">
      <c r="A428" s="35"/>
    </row>
    <row r="429">
      <c r="A429" s="35"/>
    </row>
    <row r="430">
      <c r="A430" s="35"/>
    </row>
    <row r="431">
      <c r="A431" s="35"/>
    </row>
    <row r="432">
      <c r="A432" s="35"/>
    </row>
    <row r="433">
      <c r="A433" s="35"/>
    </row>
    <row r="434">
      <c r="A434" s="35"/>
    </row>
    <row r="435">
      <c r="A435" s="35"/>
    </row>
    <row r="436">
      <c r="A436" s="35"/>
    </row>
    <row r="437">
      <c r="A437" s="35"/>
    </row>
    <row r="438">
      <c r="A438" s="35"/>
    </row>
    <row r="439">
      <c r="A439" s="35"/>
    </row>
    <row r="440">
      <c r="A440" s="35"/>
    </row>
    <row r="441">
      <c r="A441" s="35"/>
    </row>
    <row r="442">
      <c r="A442" s="35"/>
    </row>
    <row r="443">
      <c r="A443" s="35"/>
    </row>
    <row r="444">
      <c r="A444" s="35"/>
    </row>
    <row r="445">
      <c r="A445" s="35"/>
    </row>
    <row r="446">
      <c r="A446" s="35"/>
    </row>
    <row r="447">
      <c r="A447" s="35"/>
    </row>
    <row r="448">
      <c r="A448" s="35"/>
    </row>
    <row r="449">
      <c r="A449" s="35"/>
    </row>
    <row r="450">
      <c r="A450" s="35"/>
    </row>
    <row r="451">
      <c r="A451" s="35"/>
    </row>
    <row r="452">
      <c r="A452" s="35"/>
    </row>
    <row r="453">
      <c r="A453" s="35"/>
    </row>
    <row r="454">
      <c r="A454" s="35"/>
    </row>
    <row r="455">
      <c r="A455" s="35"/>
    </row>
    <row r="456">
      <c r="A456" s="35"/>
    </row>
    <row r="457">
      <c r="A457" s="35"/>
    </row>
    <row r="458">
      <c r="A458" s="35"/>
    </row>
    <row r="459">
      <c r="A459" s="35"/>
    </row>
    <row r="460">
      <c r="A460" s="35"/>
    </row>
    <row r="461">
      <c r="A461" s="35"/>
    </row>
    <row r="462">
      <c r="A462" s="35"/>
    </row>
    <row r="463">
      <c r="A463" s="35"/>
    </row>
    <row r="464">
      <c r="A464" s="35"/>
    </row>
    <row r="465">
      <c r="A465" s="35"/>
    </row>
    <row r="466">
      <c r="A466" s="35"/>
    </row>
    <row r="467">
      <c r="A467" s="35"/>
    </row>
    <row r="468">
      <c r="A468" s="35"/>
    </row>
    <row r="469">
      <c r="A469" s="35"/>
    </row>
    <row r="470">
      <c r="A470" s="35"/>
    </row>
    <row r="471">
      <c r="A471" s="35"/>
    </row>
    <row r="472">
      <c r="A472" s="35"/>
    </row>
    <row r="473">
      <c r="A473" s="35"/>
    </row>
    <row r="474">
      <c r="A474" s="35"/>
    </row>
    <row r="475">
      <c r="A475" s="35"/>
    </row>
    <row r="476">
      <c r="A476" s="35"/>
    </row>
    <row r="477">
      <c r="A477" s="35"/>
    </row>
    <row r="478">
      <c r="A478" s="35"/>
    </row>
    <row r="479">
      <c r="A479" s="35"/>
    </row>
    <row r="480">
      <c r="A480" s="35"/>
    </row>
    <row r="481">
      <c r="A481" s="35"/>
    </row>
    <row r="482">
      <c r="A482" s="35"/>
    </row>
    <row r="483">
      <c r="A483" s="35"/>
    </row>
    <row r="484">
      <c r="A484" s="35"/>
    </row>
    <row r="485">
      <c r="A485" s="35"/>
    </row>
    <row r="486">
      <c r="A486" s="35"/>
    </row>
    <row r="487">
      <c r="A487" s="35"/>
    </row>
    <row r="488">
      <c r="A488" s="35"/>
    </row>
    <row r="489">
      <c r="A489" s="35"/>
    </row>
    <row r="490">
      <c r="A490" s="35"/>
    </row>
    <row r="491">
      <c r="A491" s="35"/>
    </row>
    <row r="492">
      <c r="A492" s="35"/>
    </row>
    <row r="493">
      <c r="A493" s="35"/>
    </row>
    <row r="494">
      <c r="A494" s="35"/>
    </row>
    <row r="495">
      <c r="A495" s="35"/>
    </row>
    <row r="496">
      <c r="A496" s="35"/>
    </row>
    <row r="497">
      <c r="A497" s="35"/>
    </row>
    <row r="498">
      <c r="A498" s="35"/>
    </row>
    <row r="499">
      <c r="A499" s="35"/>
    </row>
    <row r="500">
      <c r="A500" s="35"/>
    </row>
    <row r="501">
      <c r="A501" s="35"/>
    </row>
    <row r="502">
      <c r="A502" s="35"/>
    </row>
    <row r="503">
      <c r="A503" s="35"/>
    </row>
    <row r="504">
      <c r="A504" s="35"/>
    </row>
    <row r="505">
      <c r="A505" s="35"/>
    </row>
    <row r="506">
      <c r="A506" s="35"/>
    </row>
    <row r="507">
      <c r="A507" s="35"/>
    </row>
    <row r="508">
      <c r="A508" s="35"/>
    </row>
    <row r="509">
      <c r="A509" s="35"/>
    </row>
    <row r="510">
      <c r="A510" s="35"/>
    </row>
    <row r="511">
      <c r="A511" s="35"/>
    </row>
    <row r="512">
      <c r="A512" s="35"/>
    </row>
    <row r="513">
      <c r="A513" s="35"/>
    </row>
    <row r="514">
      <c r="A514" s="35"/>
    </row>
    <row r="515">
      <c r="A515" s="35"/>
    </row>
    <row r="516">
      <c r="A516" s="35"/>
    </row>
    <row r="517">
      <c r="A517" s="35"/>
    </row>
    <row r="518">
      <c r="A518" s="35"/>
    </row>
    <row r="519">
      <c r="A519" s="35"/>
    </row>
    <row r="520">
      <c r="A520" s="35"/>
    </row>
    <row r="521">
      <c r="A521" s="35"/>
    </row>
    <row r="522">
      <c r="A522" s="35"/>
    </row>
    <row r="523">
      <c r="A523" s="35"/>
    </row>
    <row r="524">
      <c r="A524" s="35"/>
    </row>
    <row r="525">
      <c r="A525" s="35"/>
    </row>
    <row r="526">
      <c r="A526" s="35"/>
    </row>
    <row r="527">
      <c r="A527" s="35"/>
    </row>
    <row r="528">
      <c r="A528" s="35"/>
    </row>
    <row r="529">
      <c r="A529" s="35"/>
    </row>
    <row r="530">
      <c r="A530" s="35"/>
    </row>
    <row r="531">
      <c r="A531" s="35"/>
    </row>
    <row r="532">
      <c r="A532" s="35"/>
    </row>
    <row r="533">
      <c r="A533" s="35"/>
    </row>
    <row r="534">
      <c r="A534" s="35"/>
    </row>
    <row r="535">
      <c r="A535" s="35"/>
    </row>
    <row r="536">
      <c r="A536" s="35"/>
    </row>
    <row r="537">
      <c r="A537" s="35"/>
    </row>
    <row r="538">
      <c r="A538" s="35"/>
    </row>
    <row r="539">
      <c r="A539" s="35"/>
    </row>
    <row r="540">
      <c r="A540" s="35"/>
    </row>
    <row r="541">
      <c r="A541" s="35"/>
    </row>
    <row r="542">
      <c r="A542" s="35"/>
    </row>
    <row r="543">
      <c r="A543" s="35"/>
    </row>
    <row r="544">
      <c r="A544" s="35"/>
    </row>
    <row r="545">
      <c r="A545" s="35"/>
    </row>
    <row r="546">
      <c r="A546" s="35"/>
    </row>
    <row r="547">
      <c r="A547" s="35"/>
    </row>
    <row r="548">
      <c r="A548" s="35"/>
    </row>
    <row r="549">
      <c r="A549" s="35"/>
    </row>
    <row r="550">
      <c r="A550" s="35"/>
    </row>
    <row r="551">
      <c r="A551" s="35"/>
    </row>
    <row r="552">
      <c r="A552" s="35"/>
    </row>
    <row r="553">
      <c r="A553" s="35"/>
    </row>
    <row r="554">
      <c r="A554" s="35"/>
    </row>
    <row r="555">
      <c r="A555" s="35"/>
    </row>
    <row r="556">
      <c r="A556" s="35"/>
    </row>
    <row r="557">
      <c r="A557" s="35"/>
    </row>
    <row r="558">
      <c r="A558" s="35"/>
    </row>
    <row r="559">
      <c r="A559" s="35"/>
    </row>
    <row r="560">
      <c r="A560" s="35"/>
    </row>
    <row r="561">
      <c r="A561" s="35"/>
    </row>
    <row r="562">
      <c r="A562" s="35"/>
    </row>
    <row r="563">
      <c r="A563" s="35"/>
    </row>
    <row r="564">
      <c r="A564" s="35"/>
    </row>
    <row r="565">
      <c r="A565" s="35"/>
    </row>
    <row r="566">
      <c r="A566" s="35"/>
    </row>
    <row r="567">
      <c r="A567" s="35"/>
    </row>
    <row r="568">
      <c r="A568" s="35"/>
    </row>
    <row r="569">
      <c r="A569" s="35"/>
    </row>
    <row r="570">
      <c r="A570" s="35"/>
    </row>
    <row r="571">
      <c r="A571" s="35"/>
    </row>
    <row r="572">
      <c r="A572" s="35"/>
    </row>
    <row r="573">
      <c r="A573" s="35"/>
    </row>
    <row r="574">
      <c r="A574" s="35"/>
    </row>
    <row r="575">
      <c r="A575" s="35"/>
    </row>
    <row r="576">
      <c r="A576" s="35"/>
    </row>
    <row r="577">
      <c r="A577" s="35"/>
    </row>
    <row r="578">
      <c r="A578" s="35"/>
    </row>
    <row r="579">
      <c r="A579" s="35"/>
    </row>
    <row r="580">
      <c r="A580" s="35"/>
    </row>
    <row r="581">
      <c r="A581" s="35"/>
    </row>
    <row r="582">
      <c r="A582" s="35"/>
    </row>
    <row r="583">
      <c r="A583" s="35"/>
    </row>
    <row r="584">
      <c r="A584" s="35"/>
    </row>
    <row r="585">
      <c r="A585" s="35"/>
    </row>
    <row r="586">
      <c r="A586" s="35"/>
    </row>
    <row r="587">
      <c r="A587" s="35"/>
    </row>
    <row r="588">
      <c r="A588" s="35"/>
    </row>
    <row r="589">
      <c r="A589" s="35"/>
    </row>
    <row r="590">
      <c r="A590" s="35"/>
    </row>
    <row r="591">
      <c r="A591" s="35"/>
    </row>
    <row r="592">
      <c r="A592" s="35"/>
    </row>
    <row r="593">
      <c r="A593" s="35"/>
    </row>
    <row r="594">
      <c r="A594" s="35"/>
    </row>
    <row r="595">
      <c r="A595" s="35"/>
    </row>
    <row r="596">
      <c r="A596" s="35"/>
    </row>
    <row r="597">
      <c r="A597" s="35"/>
    </row>
    <row r="598">
      <c r="A598" s="35"/>
    </row>
    <row r="599">
      <c r="A599" s="35"/>
    </row>
    <row r="600">
      <c r="A600" s="35"/>
    </row>
    <row r="601">
      <c r="A601" s="35"/>
    </row>
    <row r="602">
      <c r="A602" s="35"/>
    </row>
    <row r="603">
      <c r="A603" s="35"/>
    </row>
    <row r="604">
      <c r="A604" s="35"/>
    </row>
    <row r="605">
      <c r="A605" s="35"/>
    </row>
    <row r="606">
      <c r="A606" s="35"/>
    </row>
    <row r="607">
      <c r="A607" s="35"/>
    </row>
    <row r="608">
      <c r="A608" s="35"/>
    </row>
    <row r="609">
      <c r="A609" s="35"/>
    </row>
    <row r="610">
      <c r="A610" s="35"/>
    </row>
    <row r="611">
      <c r="A611" s="35"/>
    </row>
    <row r="612">
      <c r="A612" s="35"/>
    </row>
    <row r="613">
      <c r="A613" s="35"/>
    </row>
    <row r="614">
      <c r="A614" s="35"/>
    </row>
    <row r="615">
      <c r="A615" s="35"/>
    </row>
    <row r="616">
      <c r="A616" s="35"/>
    </row>
    <row r="617">
      <c r="A617" s="35"/>
    </row>
    <row r="618">
      <c r="A618" s="35"/>
    </row>
    <row r="619">
      <c r="A619" s="35"/>
    </row>
    <row r="620">
      <c r="A620" s="35"/>
    </row>
    <row r="621">
      <c r="A621" s="35"/>
    </row>
    <row r="622">
      <c r="A622" s="35"/>
    </row>
    <row r="623">
      <c r="A623" s="35"/>
    </row>
    <row r="624">
      <c r="A624" s="35"/>
    </row>
    <row r="625">
      <c r="A625" s="35"/>
    </row>
    <row r="626">
      <c r="A626" s="35"/>
    </row>
    <row r="627">
      <c r="A627" s="35"/>
    </row>
    <row r="628">
      <c r="A628" s="35"/>
    </row>
    <row r="629">
      <c r="A629" s="35"/>
    </row>
    <row r="630">
      <c r="A630" s="35"/>
    </row>
    <row r="631">
      <c r="A631" s="35"/>
    </row>
    <row r="632">
      <c r="A632" s="35"/>
    </row>
    <row r="633">
      <c r="A633" s="35"/>
    </row>
    <row r="634">
      <c r="A634" s="35"/>
    </row>
    <row r="635">
      <c r="A635" s="35"/>
    </row>
    <row r="636">
      <c r="A636" s="35"/>
    </row>
    <row r="637">
      <c r="A637" s="35"/>
    </row>
    <row r="638">
      <c r="A638" s="35"/>
    </row>
    <row r="639">
      <c r="A639" s="35"/>
    </row>
    <row r="640">
      <c r="A640" s="35"/>
    </row>
    <row r="641">
      <c r="A641" s="35"/>
    </row>
    <row r="642">
      <c r="A642" s="35"/>
    </row>
    <row r="643">
      <c r="A643" s="35"/>
    </row>
    <row r="644">
      <c r="A644" s="35"/>
    </row>
    <row r="645">
      <c r="A645" s="35"/>
    </row>
    <row r="646">
      <c r="A646" s="35"/>
    </row>
    <row r="647">
      <c r="A647" s="35"/>
    </row>
    <row r="648">
      <c r="A648" s="35"/>
    </row>
    <row r="649">
      <c r="A649" s="35"/>
    </row>
    <row r="650">
      <c r="A650" s="35"/>
    </row>
    <row r="651">
      <c r="A651" s="35"/>
    </row>
    <row r="652">
      <c r="A652" s="35"/>
    </row>
    <row r="653">
      <c r="A653" s="35"/>
    </row>
    <row r="654">
      <c r="A654" s="35"/>
    </row>
    <row r="655">
      <c r="A655" s="35"/>
    </row>
    <row r="656">
      <c r="A656" s="35"/>
    </row>
    <row r="657">
      <c r="A657" s="35"/>
    </row>
    <row r="658">
      <c r="A658" s="35"/>
    </row>
    <row r="659">
      <c r="A659" s="35"/>
    </row>
    <row r="660">
      <c r="A660" s="35"/>
    </row>
    <row r="661">
      <c r="A661" s="35"/>
    </row>
    <row r="662">
      <c r="A662" s="35"/>
    </row>
    <row r="663">
      <c r="A663" s="35"/>
    </row>
    <row r="664">
      <c r="A664" s="35"/>
    </row>
    <row r="665">
      <c r="A665" s="35"/>
    </row>
    <row r="666">
      <c r="A666" s="35"/>
    </row>
    <row r="667">
      <c r="A667" s="35"/>
    </row>
    <row r="668">
      <c r="A668" s="35"/>
    </row>
    <row r="669">
      <c r="A669" s="35"/>
    </row>
    <row r="670">
      <c r="A670" s="35"/>
    </row>
    <row r="671">
      <c r="A671" s="35"/>
    </row>
    <row r="672">
      <c r="A672" s="35"/>
    </row>
    <row r="673">
      <c r="A673" s="35"/>
    </row>
    <row r="674">
      <c r="A674" s="35"/>
    </row>
    <row r="675">
      <c r="A675" s="35"/>
    </row>
    <row r="676">
      <c r="A676" s="35"/>
    </row>
    <row r="677">
      <c r="A677" s="35"/>
    </row>
    <row r="678">
      <c r="A678" s="35"/>
    </row>
    <row r="679">
      <c r="A679" s="35"/>
    </row>
    <row r="680">
      <c r="A680" s="35"/>
    </row>
    <row r="681">
      <c r="A681" s="35"/>
    </row>
    <row r="682">
      <c r="A682" s="35"/>
    </row>
    <row r="683">
      <c r="A683" s="35"/>
    </row>
    <row r="684">
      <c r="A684" s="35"/>
    </row>
    <row r="685">
      <c r="A685" s="35"/>
    </row>
    <row r="686">
      <c r="A686" s="35"/>
    </row>
    <row r="687">
      <c r="A687" s="35"/>
    </row>
    <row r="688">
      <c r="A688" s="35"/>
    </row>
    <row r="689">
      <c r="A689" s="35"/>
    </row>
    <row r="690">
      <c r="A690" s="35"/>
    </row>
    <row r="691">
      <c r="A691" s="35"/>
    </row>
    <row r="692">
      <c r="A692" s="35"/>
    </row>
    <row r="693">
      <c r="A693" s="35"/>
    </row>
    <row r="694">
      <c r="A694" s="35"/>
    </row>
    <row r="695">
      <c r="A695" s="35"/>
    </row>
    <row r="696">
      <c r="A696" s="35"/>
    </row>
    <row r="697">
      <c r="A697" s="35"/>
    </row>
    <row r="698">
      <c r="A698" s="35"/>
    </row>
    <row r="699">
      <c r="A699" s="35"/>
    </row>
    <row r="700">
      <c r="A700" s="35"/>
    </row>
    <row r="701">
      <c r="A701" s="35"/>
    </row>
    <row r="702">
      <c r="A702" s="35"/>
    </row>
    <row r="703">
      <c r="A703" s="35"/>
    </row>
    <row r="704">
      <c r="A704" s="35"/>
    </row>
    <row r="705">
      <c r="A705" s="35"/>
    </row>
    <row r="706">
      <c r="A706" s="35"/>
    </row>
    <row r="707">
      <c r="A707" s="35"/>
    </row>
    <row r="708">
      <c r="A708" s="35"/>
    </row>
    <row r="709">
      <c r="A709" s="35"/>
    </row>
    <row r="710">
      <c r="A710" s="35"/>
    </row>
    <row r="711">
      <c r="A711" s="35"/>
    </row>
    <row r="712">
      <c r="A712" s="35"/>
    </row>
    <row r="713">
      <c r="A713" s="35"/>
    </row>
    <row r="714">
      <c r="A714" s="35"/>
    </row>
    <row r="715">
      <c r="A715" s="35"/>
    </row>
    <row r="716">
      <c r="A716" s="35"/>
    </row>
    <row r="717">
      <c r="A717" s="35"/>
    </row>
    <row r="718">
      <c r="A718" s="35"/>
    </row>
    <row r="719">
      <c r="A719" s="35"/>
    </row>
    <row r="720">
      <c r="A720" s="35"/>
    </row>
    <row r="721">
      <c r="A721" s="35"/>
    </row>
    <row r="722">
      <c r="A722" s="35"/>
    </row>
    <row r="723">
      <c r="A723" s="35"/>
    </row>
    <row r="724">
      <c r="A724" s="35"/>
    </row>
    <row r="725">
      <c r="A725" s="35"/>
    </row>
    <row r="726">
      <c r="A726" s="35"/>
    </row>
    <row r="727">
      <c r="A727" s="35"/>
    </row>
    <row r="728">
      <c r="A728" s="35"/>
    </row>
    <row r="729">
      <c r="A729" s="35"/>
    </row>
    <row r="730">
      <c r="A730" s="35"/>
    </row>
    <row r="731">
      <c r="A731" s="35"/>
    </row>
    <row r="732">
      <c r="A732" s="35"/>
    </row>
    <row r="733">
      <c r="A733" s="35"/>
    </row>
    <row r="734">
      <c r="A734" s="35"/>
    </row>
    <row r="735">
      <c r="A735" s="35"/>
    </row>
    <row r="736">
      <c r="A736" s="35"/>
    </row>
    <row r="737">
      <c r="A737" s="35"/>
    </row>
    <row r="738">
      <c r="A738" s="35"/>
    </row>
    <row r="739">
      <c r="A739" s="35"/>
    </row>
    <row r="740">
      <c r="A740" s="35"/>
    </row>
    <row r="741">
      <c r="A741" s="35"/>
    </row>
    <row r="742">
      <c r="A742" s="35"/>
    </row>
    <row r="743">
      <c r="A743" s="35"/>
    </row>
    <row r="744">
      <c r="A744" s="35"/>
    </row>
    <row r="745">
      <c r="A745" s="35"/>
    </row>
    <row r="746">
      <c r="A746" s="35"/>
    </row>
    <row r="747">
      <c r="A747" s="35"/>
    </row>
    <row r="748">
      <c r="A748" s="35"/>
    </row>
    <row r="749">
      <c r="A749" s="35"/>
    </row>
    <row r="750">
      <c r="A750" s="35"/>
    </row>
    <row r="751">
      <c r="A751" s="35"/>
    </row>
    <row r="752">
      <c r="A752" s="35"/>
    </row>
    <row r="753">
      <c r="A753" s="35"/>
    </row>
    <row r="754">
      <c r="A754" s="35"/>
    </row>
    <row r="755">
      <c r="A755" s="35"/>
    </row>
    <row r="756">
      <c r="A756" s="35"/>
    </row>
    <row r="757">
      <c r="A757" s="35"/>
    </row>
    <row r="758">
      <c r="A758" s="35"/>
    </row>
    <row r="759">
      <c r="A759" s="35"/>
    </row>
    <row r="760">
      <c r="A760" s="35"/>
    </row>
    <row r="761">
      <c r="A761" s="35"/>
    </row>
    <row r="762">
      <c r="A762" s="35"/>
    </row>
    <row r="763">
      <c r="A763" s="35"/>
    </row>
    <row r="764">
      <c r="A764" s="35"/>
    </row>
    <row r="765">
      <c r="A765" s="35"/>
    </row>
    <row r="766">
      <c r="A766" s="35"/>
    </row>
    <row r="767">
      <c r="A767" s="35"/>
    </row>
    <row r="768">
      <c r="A768" s="35"/>
    </row>
    <row r="769">
      <c r="A769" s="35"/>
    </row>
    <row r="770">
      <c r="A770" s="35"/>
    </row>
    <row r="771">
      <c r="A771" s="35"/>
    </row>
    <row r="772">
      <c r="A772" s="35"/>
    </row>
    <row r="773">
      <c r="A773" s="35"/>
    </row>
    <row r="774">
      <c r="A774" s="35"/>
    </row>
    <row r="775">
      <c r="A775" s="35"/>
    </row>
    <row r="776">
      <c r="A776" s="35"/>
    </row>
    <row r="777">
      <c r="A777" s="35"/>
    </row>
    <row r="778">
      <c r="A778" s="35"/>
    </row>
    <row r="779">
      <c r="A779" s="35"/>
    </row>
    <row r="780">
      <c r="A780" s="35"/>
    </row>
    <row r="781">
      <c r="A781" s="35"/>
    </row>
    <row r="782">
      <c r="A782" s="35"/>
    </row>
    <row r="783">
      <c r="A783" s="35"/>
    </row>
    <row r="784">
      <c r="A784" s="35"/>
    </row>
    <row r="785">
      <c r="A785" s="35"/>
    </row>
    <row r="786">
      <c r="A786" s="35"/>
    </row>
    <row r="787">
      <c r="A787" s="35"/>
    </row>
    <row r="788">
      <c r="A788" s="35"/>
    </row>
    <row r="789">
      <c r="A789" s="35"/>
    </row>
    <row r="790">
      <c r="A790" s="35"/>
    </row>
    <row r="791">
      <c r="A791" s="35"/>
    </row>
    <row r="792">
      <c r="A792" s="35"/>
    </row>
    <row r="793">
      <c r="A793" s="35"/>
    </row>
    <row r="794">
      <c r="A794" s="35"/>
    </row>
    <row r="795">
      <c r="A795" s="35"/>
    </row>
    <row r="796">
      <c r="A796" s="35"/>
    </row>
    <row r="797">
      <c r="A797" s="35"/>
    </row>
    <row r="798">
      <c r="A798" s="35"/>
    </row>
    <row r="799">
      <c r="A799" s="35"/>
    </row>
    <row r="800">
      <c r="A800" s="35"/>
    </row>
    <row r="801">
      <c r="A801" s="35"/>
    </row>
    <row r="802">
      <c r="A802" s="35"/>
    </row>
    <row r="803">
      <c r="A803" s="35"/>
    </row>
    <row r="804">
      <c r="A804" s="35"/>
    </row>
    <row r="805">
      <c r="A805" s="35"/>
    </row>
    <row r="806">
      <c r="A806" s="35"/>
    </row>
    <row r="807">
      <c r="A807" s="35"/>
    </row>
    <row r="808">
      <c r="A808" s="35"/>
    </row>
    <row r="809">
      <c r="A809" s="35"/>
    </row>
    <row r="810">
      <c r="A810" s="35"/>
    </row>
    <row r="811">
      <c r="A811" s="35"/>
    </row>
    <row r="812">
      <c r="A812" s="35"/>
    </row>
    <row r="813">
      <c r="A813" s="35"/>
    </row>
    <row r="814">
      <c r="A814" s="35"/>
    </row>
    <row r="815">
      <c r="A815" s="35"/>
    </row>
    <row r="816">
      <c r="A816" s="35"/>
    </row>
    <row r="817">
      <c r="A817" s="35"/>
    </row>
    <row r="818">
      <c r="A818" s="35"/>
    </row>
    <row r="819">
      <c r="A819" s="35"/>
    </row>
    <row r="820">
      <c r="A820" s="35"/>
    </row>
    <row r="821">
      <c r="A821" s="35"/>
    </row>
    <row r="822">
      <c r="A822" s="35"/>
    </row>
    <row r="823">
      <c r="A823" s="35"/>
    </row>
    <row r="824">
      <c r="A824" s="35"/>
    </row>
    <row r="825">
      <c r="A825" s="35"/>
    </row>
    <row r="826">
      <c r="A826" s="35"/>
    </row>
    <row r="827">
      <c r="A827" s="35"/>
    </row>
    <row r="828">
      <c r="A828" s="35"/>
    </row>
    <row r="829">
      <c r="A829" s="35"/>
    </row>
    <row r="830">
      <c r="A830" s="35"/>
    </row>
    <row r="831">
      <c r="A831" s="35"/>
    </row>
    <row r="832">
      <c r="A832" s="35"/>
    </row>
    <row r="833">
      <c r="A833" s="35"/>
    </row>
    <row r="834">
      <c r="A834" s="35"/>
    </row>
    <row r="835">
      <c r="A835" s="35"/>
    </row>
    <row r="836">
      <c r="A836" s="35"/>
    </row>
    <row r="837">
      <c r="A837" s="35"/>
    </row>
    <row r="838">
      <c r="A838" s="35"/>
    </row>
    <row r="839">
      <c r="A839" s="35"/>
    </row>
    <row r="840">
      <c r="A840" s="35"/>
    </row>
    <row r="841">
      <c r="A841" s="35"/>
    </row>
    <row r="842">
      <c r="A842" s="35"/>
    </row>
    <row r="843">
      <c r="A843" s="35"/>
    </row>
    <row r="844">
      <c r="A844" s="35"/>
    </row>
    <row r="845">
      <c r="A845" s="35"/>
    </row>
    <row r="846">
      <c r="A846" s="35"/>
    </row>
    <row r="847">
      <c r="A847" s="35"/>
    </row>
    <row r="848">
      <c r="A848" s="35"/>
    </row>
    <row r="849">
      <c r="A849" s="35"/>
    </row>
    <row r="850">
      <c r="A850" s="35"/>
    </row>
    <row r="851">
      <c r="A851" s="35"/>
    </row>
    <row r="852">
      <c r="A852" s="35"/>
    </row>
    <row r="853">
      <c r="A853" s="35"/>
    </row>
    <row r="854">
      <c r="A854" s="35"/>
    </row>
    <row r="855">
      <c r="A855" s="35"/>
    </row>
    <row r="856">
      <c r="A856" s="35"/>
    </row>
    <row r="857">
      <c r="A857" s="35"/>
    </row>
    <row r="858">
      <c r="A858" s="35"/>
    </row>
    <row r="859">
      <c r="A859" s="35"/>
    </row>
    <row r="860">
      <c r="A860" s="35"/>
    </row>
    <row r="861">
      <c r="A861" s="35"/>
    </row>
    <row r="862">
      <c r="A862" s="35"/>
    </row>
    <row r="863">
      <c r="A863" s="35"/>
    </row>
    <row r="864">
      <c r="A864" s="35"/>
    </row>
    <row r="865">
      <c r="A865" s="35"/>
    </row>
    <row r="866">
      <c r="A866" s="35"/>
    </row>
    <row r="867">
      <c r="A867" s="35"/>
    </row>
    <row r="868">
      <c r="A868" s="35"/>
    </row>
    <row r="869">
      <c r="A869" s="35"/>
    </row>
    <row r="870">
      <c r="A870" s="35"/>
    </row>
    <row r="871">
      <c r="A871" s="35"/>
    </row>
    <row r="872">
      <c r="A872" s="35"/>
    </row>
    <row r="873">
      <c r="A873" s="35"/>
    </row>
    <row r="874">
      <c r="A874" s="35"/>
    </row>
    <row r="875">
      <c r="A875" s="35"/>
    </row>
    <row r="876">
      <c r="A876" s="35"/>
    </row>
    <row r="877">
      <c r="A877" s="35"/>
    </row>
    <row r="878">
      <c r="A878" s="35"/>
    </row>
    <row r="879">
      <c r="A879" s="35"/>
    </row>
    <row r="880">
      <c r="A880" s="35"/>
    </row>
    <row r="881">
      <c r="A881" s="35"/>
    </row>
    <row r="882">
      <c r="A882" s="35"/>
    </row>
    <row r="883">
      <c r="A883" s="35"/>
    </row>
    <row r="884">
      <c r="A884" s="35"/>
    </row>
    <row r="885">
      <c r="A885" s="35"/>
    </row>
    <row r="886">
      <c r="A886" s="35"/>
    </row>
    <row r="887">
      <c r="A887" s="35"/>
    </row>
    <row r="888">
      <c r="A888" s="35"/>
    </row>
    <row r="889">
      <c r="A889" s="35"/>
    </row>
    <row r="890">
      <c r="A890" s="35"/>
    </row>
    <row r="891">
      <c r="A891" s="35"/>
    </row>
    <row r="892">
      <c r="A892" s="35"/>
    </row>
    <row r="893">
      <c r="A893" s="35"/>
    </row>
    <row r="894">
      <c r="A894" s="35"/>
    </row>
    <row r="895">
      <c r="A895" s="35"/>
    </row>
    <row r="896">
      <c r="A896" s="35"/>
    </row>
    <row r="897">
      <c r="A897" s="35"/>
    </row>
    <row r="898">
      <c r="A898" s="35"/>
    </row>
    <row r="899">
      <c r="A899" s="35"/>
    </row>
    <row r="900">
      <c r="A900" s="35"/>
    </row>
    <row r="901">
      <c r="A901" s="35"/>
    </row>
    <row r="902">
      <c r="A902" s="35"/>
    </row>
    <row r="903">
      <c r="A903" s="35"/>
    </row>
    <row r="904">
      <c r="A904" s="35"/>
    </row>
    <row r="905">
      <c r="A905" s="35"/>
    </row>
    <row r="906">
      <c r="A906" s="35"/>
    </row>
    <row r="907">
      <c r="A907" s="35"/>
    </row>
    <row r="908">
      <c r="A908" s="35"/>
    </row>
    <row r="909">
      <c r="A909" s="35"/>
    </row>
    <row r="910">
      <c r="A910" s="35"/>
    </row>
    <row r="911">
      <c r="A911" s="35"/>
    </row>
    <row r="912">
      <c r="A912" s="35"/>
    </row>
    <row r="913">
      <c r="A913" s="35"/>
    </row>
    <row r="914">
      <c r="A914" s="35"/>
    </row>
    <row r="915">
      <c r="A915" s="35"/>
    </row>
    <row r="916">
      <c r="A916" s="35"/>
    </row>
    <row r="917">
      <c r="A917" s="35"/>
    </row>
    <row r="918">
      <c r="A918" s="35"/>
    </row>
    <row r="919">
      <c r="A919" s="35"/>
    </row>
    <row r="920">
      <c r="A920" s="35"/>
    </row>
    <row r="921">
      <c r="A921" s="35"/>
    </row>
    <row r="922">
      <c r="A922" s="35"/>
    </row>
    <row r="923">
      <c r="A923" s="35"/>
    </row>
    <row r="924">
      <c r="A924" s="35"/>
    </row>
    <row r="925">
      <c r="A925" s="35"/>
    </row>
    <row r="926">
      <c r="A926" s="35"/>
    </row>
    <row r="927">
      <c r="A927" s="35"/>
    </row>
    <row r="928">
      <c r="A928" s="35"/>
    </row>
    <row r="929">
      <c r="A929" s="35"/>
    </row>
    <row r="930">
      <c r="A930" s="35"/>
    </row>
    <row r="931">
      <c r="A931" s="35"/>
    </row>
    <row r="932">
      <c r="A932" s="35"/>
    </row>
    <row r="933">
      <c r="A933" s="35"/>
    </row>
    <row r="934">
      <c r="A934" s="35"/>
    </row>
    <row r="935">
      <c r="A935" s="35"/>
    </row>
    <row r="936">
      <c r="A936" s="35"/>
    </row>
    <row r="937">
      <c r="A937" s="35"/>
    </row>
    <row r="938">
      <c r="A938" s="35"/>
    </row>
    <row r="939">
      <c r="A939" s="35"/>
    </row>
    <row r="940">
      <c r="A940" s="35"/>
    </row>
    <row r="941">
      <c r="A941" s="35"/>
    </row>
    <row r="942">
      <c r="A942" s="35"/>
    </row>
    <row r="943">
      <c r="A943" s="35"/>
    </row>
    <row r="944">
      <c r="A944" s="35"/>
    </row>
    <row r="945">
      <c r="A945" s="35"/>
    </row>
    <row r="946">
      <c r="A946" s="35"/>
    </row>
    <row r="947">
      <c r="A947" s="35"/>
    </row>
    <row r="948">
      <c r="A948" s="35"/>
    </row>
    <row r="949">
      <c r="A949" s="35"/>
    </row>
    <row r="950">
      <c r="A950" s="35"/>
    </row>
    <row r="951">
      <c r="A951" s="35"/>
    </row>
    <row r="952">
      <c r="A952" s="35"/>
    </row>
    <row r="953">
      <c r="A953" s="35"/>
    </row>
    <row r="954">
      <c r="A954" s="35"/>
    </row>
    <row r="955">
      <c r="A955" s="35"/>
    </row>
    <row r="956">
      <c r="A956" s="35"/>
    </row>
    <row r="957">
      <c r="A957" s="35"/>
    </row>
    <row r="958">
      <c r="A958" s="35"/>
    </row>
    <row r="959">
      <c r="A959" s="35"/>
    </row>
    <row r="960">
      <c r="A960" s="35"/>
    </row>
    <row r="961">
      <c r="A961" s="35"/>
    </row>
    <row r="962">
      <c r="A962" s="35"/>
    </row>
    <row r="963">
      <c r="A963" s="35"/>
    </row>
    <row r="964">
      <c r="A964" s="35"/>
    </row>
    <row r="965">
      <c r="A965" s="35"/>
    </row>
    <row r="966">
      <c r="A966" s="35"/>
    </row>
    <row r="967">
      <c r="A967" s="35"/>
    </row>
    <row r="968">
      <c r="A968" s="35"/>
    </row>
    <row r="969">
      <c r="A969" s="35"/>
    </row>
    <row r="970">
      <c r="A970" s="35"/>
    </row>
    <row r="971">
      <c r="A971" s="35"/>
    </row>
    <row r="972">
      <c r="A972" s="35"/>
    </row>
    <row r="973">
      <c r="A973" s="35"/>
    </row>
    <row r="974">
      <c r="A974" s="35"/>
    </row>
    <row r="975">
      <c r="A975" s="35"/>
    </row>
    <row r="976">
      <c r="A976" s="35"/>
    </row>
    <row r="977">
      <c r="A977" s="35"/>
    </row>
    <row r="978">
      <c r="A978" s="35"/>
    </row>
    <row r="979">
      <c r="A979" s="35"/>
    </row>
    <row r="980">
      <c r="A980" s="35"/>
    </row>
    <row r="981">
      <c r="A981" s="35"/>
    </row>
    <row r="982">
      <c r="A982" s="35"/>
    </row>
    <row r="983">
      <c r="A983" s="35"/>
    </row>
    <row r="984">
      <c r="A984" s="35"/>
    </row>
    <row r="985">
      <c r="A985" s="35"/>
    </row>
    <row r="986">
      <c r="A986" s="35"/>
    </row>
    <row r="987">
      <c r="A987" s="35"/>
    </row>
    <row r="988">
      <c r="A988" s="35"/>
    </row>
    <row r="989">
      <c r="A989" s="35"/>
    </row>
    <row r="990">
      <c r="A990" s="35"/>
    </row>
    <row r="991">
      <c r="A991" s="35"/>
    </row>
    <row r="992">
      <c r="A992" s="35"/>
    </row>
    <row r="993">
      <c r="A993" s="35"/>
    </row>
    <row r="994">
      <c r="A994" s="35"/>
    </row>
    <row r="995">
      <c r="A995" s="35"/>
    </row>
    <row r="996">
      <c r="A996" s="35"/>
    </row>
    <row r="997">
      <c r="A997" s="35"/>
    </row>
    <row r="998">
      <c r="A998" s="35"/>
    </row>
    <row r="999">
      <c r="A999" s="35"/>
    </row>
    <row r="1000">
      <c r="A1000" s="35"/>
    </row>
    <row r="1001">
      <c r="A1001" s="35"/>
    </row>
    <row r="1002">
      <c r="A1002" s="35"/>
    </row>
    <row r="1003">
      <c r="A1003" s="35"/>
    </row>
    <row r="1004">
      <c r="A1004" s="35"/>
    </row>
    <row r="1005">
      <c r="A1005" s="35"/>
    </row>
    <row r="1006">
      <c r="A1006" s="35"/>
    </row>
    <row r="1007">
      <c r="A1007" s="35"/>
    </row>
    <row r="1008">
      <c r="A1008" s="35"/>
    </row>
    <row r="1009">
      <c r="A1009" s="35"/>
    </row>
    <row r="1010">
      <c r="A1010" s="35"/>
    </row>
    <row r="1011">
      <c r="A1011" s="35"/>
    </row>
    <row r="1012">
      <c r="A1012" s="35"/>
    </row>
    <row r="1013">
      <c r="A1013" s="35"/>
    </row>
    <row r="1014">
      <c r="A1014" s="35"/>
    </row>
    <row r="1015">
      <c r="A1015" s="35"/>
    </row>
    <row r="1016">
      <c r="A1016" s="35"/>
    </row>
    <row r="1017">
      <c r="A1017" s="35"/>
    </row>
    <row r="1018">
      <c r="A1018" s="35"/>
    </row>
    <row r="1019">
      <c r="A1019" s="35"/>
    </row>
    <row r="1020">
      <c r="A1020" s="35"/>
    </row>
    <row r="1021">
      <c r="A1021" s="35"/>
    </row>
    <row r="1022">
      <c r="A1022" s="35"/>
    </row>
    <row r="1023">
      <c r="A1023" s="35"/>
    </row>
    <row r="1024">
      <c r="A1024" s="35"/>
    </row>
    <row r="1025">
      <c r="A1025" s="35"/>
    </row>
    <row r="1026">
      <c r="A1026" s="35"/>
    </row>
    <row r="1027">
      <c r="A1027" s="35"/>
    </row>
    <row r="1028">
      <c r="A1028" s="35"/>
    </row>
    <row r="1029">
      <c r="A1029" s="35"/>
    </row>
    <row r="1030">
      <c r="A1030" s="35"/>
    </row>
    <row r="1031">
      <c r="A1031" s="35"/>
    </row>
    <row r="1032">
      <c r="A1032" s="35"/>
    </row>
    <row r="1033">
      <c r="A1033" s="35"/>
    </row>
    <row r="1034">
      <c r="A1034" s="35"/>
    </row>
    <row r="1035">
      <c r="A1035" s="35"/>
    </row>
    <row r="1036">
      <c r="A1036" s="35"/>
    </row>
    <row r="1037">
      <c r="A1037" s="35"/>
    </row>
    <row r="1038">
      <c r="A1038" s="35"/>
    </row>
    <row r="1039">
      <c r="A1039" s="35"/>
    </row>
    <row r="1040">
      <c r="A1040" s="35"/>
    </row>
    <row r="1041">
      <c r="A1041" s="35"/>
    </row>
    <row r="1042">
      <c r="A1042" s="35"/>
    </row>
    <row r="1043">
      <c r="A1043" s="35"/>
    </row>
    <row r="1044">
      <c r="A1044" s="35"/>
    </row>
    <row r="1045">
      <c r="A1045" s="35"/>
    </row>
    <row r="1046">
      <c r="A1046" s="35"/>
    </row>
    <row r="1047">
      <c r="A1047" s="35"/>
    </row>
    <row r="1048">
      <c r="A1048" s="35"/>
    </row>
    <row r="1049">
      <c r="A1049" s="35"/>
    </row>
    <row r="1050">
      <c r="A1050" s="35"/>
    </row>
    <row r="1051">
      <c r="A1051" s="35"/>
    </row>
    <row r="1052">
      <c r="A1052" s="35"/>
    </row>
    <row r="1053">
      <c r="A1053" s="35"/>
    </row>
    <row r="1054">
      <c r="A1054" s="35"/>
    </row>
    <row r="1055">
      <c r="A1055" s="35"/>
    </row>
    <row r="1056">
      <c r="A1056" s="35"/>
    </row>
    <row r="1057">
      <c r="A1057" s="35"/>
    </row>
    <row r="1058">
      <c r="A1058" s="35"/>
    </row>
    <row r="1059">
      <c r="A1059" s="35"/>
    </row>
    <row r="1060">
      <c r="A1060" s="35"/>
    </row>
    <row r="1061">
      <c r="A1061" s="35"/>
    </row>
    <row r="1062">
      <c r="A1062" s="35"/>
    </row>
    <row r="1063">
      <c r="A1063" s="35"/>
    </row>
    <row r="1064">
      <c r="A1064" s="35"/>
    </row>
    <row r="1065">
      <c r="A1065" s="35"/>
    </row>
    <row r="1066">
      <c r="A1066" s="35"/>
    </row>
    <row r="1067">
      <c r="A1067" s="35"/>
    </row>
    <row r="1068">
      <c r="A1068" s="35"/>
    </row>
    <row r="1069">
      <c r="A1069" s="35"/>
    </row>
    <row r="1070">
      <c r="A1070" s="35"/>
    </row>
    <row r="1071">
      <c r="A1071" s="35"/>
    </row>
    <row r="1072">
      <c r="A1072" s="35"/>
    </row>
    <row r="1073">
      <c r="A1073" s="35"/>
    </row>
    <row r="1074">
      <c r="A1074" s="35"/>
    </row>
    <row r="1075">
      <c r="A1075" s="35"/>
    </row>
    <row r="1076">
      <c r="A1076" s="35"/>
    </row>
    <row r="1077">
      <c r="A1077" s="35"/>
    </row>
    <row r="1078">
      <c r="A1078" s="35"/>
    </row>
    <row r="1079">
      <c r="A1079" s="35"/>
    </row>
    <row r="1080">
      <c r="A1080" s="35"/>
    </row>
    <row r="1081">
      <c r="A1081" s="35"/>
    </row>
    <row r="1082">
      <c r="A1082" s="35"/>
    </row>
    <row r="1083">
      <c r="A1083" s="35"/>
    </row>
    <row r="1084">
      <c r="A1084" s="35"/>
    </row>
    <row r="1085">
      <c r="A1085" s="35"/>
    </row>
    <row r="1086">
      <c r="A1086" s="35"/>
    </row>
    <row r="1087">
      <c r="A1087" s="35"/>
    </row>
    <row r="1088">
      <c r="A1088" s="35"/>
    </row>
    <row r="1089">
      <c r="A1089" s="35"/>
    </row>
    <row r="1090">
      <c r="A1090" s="35"/>
    </row>
    <row r="1091">
      <c r="A1091" s="35"/>
    </row>
    <row r="1092">
      <c r="A1092" s="35"/>
    </row>
    <row r="1093">
      <c r="A1093" s="35"/>
    </row>
    <row r="1094">
      <c r="A1094" s="35"/>
    </row>
    <row r="1095">
      <c r="A1095" s="35"/>
    </row>
    <row r="1096">
      <c r="A1096" s="35"/>
    </row>
    <row r="1097">
      <c r="A1097" s="35"/>
    </row>
    <row r="1098">
      <c r="A1098" s="35"/>
    </row>
    <row r="1099">
      <c r="A1099" s="35"/>
    </row>
    <row r="1100">
      <c r="A1100" s="35"/>
    </row>
    <row r="1101">
      <c r="A1101" s="35"/>
    </row>
    <row r="1102">
      <c r="A1102" s="35"/>
    </row>
    <row r="1103">
      <c r="A1103" s="35"/>
    </row>
    <row r="1104">
      <c r="A1104" s="35"/>
    </row>
    <row r="1105">
      <c r="A1105" s="35"/>
    </row>
    <row r="1106">
      <c r="A1106" s="35"/>
    </row>
    <row r="1107">
      <c r="A1107" s="35"/>
    </row>
    <row r="1108">
      <c r="A1108" s="35"/>
    </row>
    <row r="1109">
      <c r="A1109" s="35"/>
    </row>
    <row r="1110">
      <c r="A1110" s="35"/>
    </row>
    <row r="1111">
      <c r="A1111" s="35"/>
    </row>
    <row r="1112">
      <c r="A1112" s="35"/>
    </row>
    <row r="1113">
      <c r="A1113" s="35"/>
    </row>
    <row r="1114">
      <c r="A1114" s="35"/>
    </row>
    <row r="1115">
      <c r="A1115" s="35"/>
    </row>
    <row r="1116">
      <c r="A1116" s="35"/>
    </row>
    <row r="1117">
      <c r="A1117" s="35"/>
    </row>
    <row r="1118">
      <c r="A1118" s="35"/>
    </row>
    <row r="1119">
      <c r="A1119" s="35"/>
    </row>
    <row r="1120">
      <c r="A1120" s="35"/>
    </row>
    <row r="1121">
      <c r="A1121" s="35"/>
    </row>
    <row r="1122">
      <c r="A1122" s="35"/>
    </row>
    <row r="1123">
      <c r="A1123" s="35"/>
    </row>
    <row r="1124">
      <c r="A1124" s="35"/>
    </row>
    <row r="1125">
      <c r="A1125" s="35"/>
    </row>
    <row r="1126">
      <c r="A1126" s="35"/>
    </row>
    <row r="1127">
      <c r="A1127" s="35"/>
    </row>
    <row r="1128">
      <c r="A1128" s="35"/>
    </row>
    <row r="1129">
      <c r="A1129" s="35"/>
    </row>
    <row r="1130">
      <c r="A1130" s="35"/>
    </row>
    <row r="1131">
      <c r="A1131" s="35"/>
    </row>
    <row r="1132">
      <c r="A1132" s="35"/>
    </row>
    <row r="1133">
      <c r="A1133" s="35"/>
    </row>
    <row r="1134">
      <c r="A1134" s="35"/>
    </row>
    <row r="1135">
      <c r="A1135" s="35"/>
    </row>
    <row r="1136">
      <c r="A1136" s="35"/>
    </row>
    <row r="1137">
      <c r="A1137" s="35"/>
    </row>
    <row r="1138">
      <c r="A1138" s="35"/>
    </row>
    <row r="1139">
      <c r="A1139" s="35"/>
    </row>
    <row r="1140">
      <c r="A1140" s="35"/>
    </row>
    <row r="1141">
      <c r="A1141" s="35"/>
    </row>
    <row r="1142">
      <c r="A1142" s="35"/>
    </row>
    <row r="1143">
      <c r="A1143" s="35"/>
    </row>
    <row r="1144">
      <c r="A1144" s="35"/>
    </row>
    <row r="1145">
      <c r="A1145" s="35"/>
    </row>
    <row r="1146">
      <c r="A1146" s="35"/>
    </row>
    <row r="1147">
      <c r="A1147" s="35"/>
    </row>
    <row r="1148">
      <c r="A1148" s="35"/>
    </row>
    <row r="1149">
      <c r="A1149" s="35"/>
    </row>
    <row r="1150">
      <c r="A1150" s="35"/>
    </row>
    <row r="1151">
      <c r="A1151" s="35"/>
    </row>
    <row r="1152">
      <c r="A1152" s="35"/>
    </row>
    <row r="1153">
      <c r="A1153" s="35"/>
    </row>
    <row r="1154">
      <c r="A1154" s="35"/>
    </row>
    <row r="1155">
      <c r="A1155" s="35"/>
    </row>
    <row r="1156">
      <c r="A1156" s="35"/>
    </row>
    <row r="1157">
      <c r="A1157" s="35"/>
    </row>
    <row r="1158">
      <c r="A1158" s="35"/>
    </row>
    <row r="1159">
      <c r="A1159" s="35"/>
    </row>
    <row r="1160">
      <c r="A1160" s="35"/>
    </row>
    <row r="1161">
      <c r="A1161" s="35"/>
    </row>
    <row r="1162">
      <c r="A1162" s="35"/>
    </row>
    <row r="1163">
      <c r="A1163" s="35"/>
    </row>
    <row r="1164">
      <c r="A1164" s="35"/>
    </row>
    <row r="1165">
      <c r="A1165" s="35"/>
    </row>
    <row r="1166">
      <c r="A1166" s="35"/>
    </row>
    <row r="1167">
      <c r="A1167" s="35"/>
    </row>
    <row r="1168">
      <c r="A1168" s="35"/>
    </row>
    <row r="1169">
      <c r="A1169" s="35"/>
    </row>
    <row r="1170">
      <c r="A1170" s="35"/>
    </row>
    <row r="1171">
      <c r="A1171" s="35"/>
    </row>
    <row r="1172">
      <c r="A1172" s="35"/>
    </row>
    <row r="1173">
      <c r="A1173" s="35"/>
    </row>
    <row r="1174">
      <c r="A1174" s="35"/>
    </row>
    <row r="1175">
      <c r="A1175" s="35"/>
    </row>
    <row r="1176">
      <c r="A1176" s="35"/>
    </row>
    <row r="1177">
      <c r="A1177" s="35"/>
    </row>
    <row r="1178">
      <c r="A1178" s="35"/>
    </row>
    <row r="1179">
      <c r="A1179" s="35"/>
    </row>
    <row r="1180">
      <c r="A1180" s="35"/>
    </row>
    <row r="1181">
      <c r="A1181" s="35"/>
    </row>
    <row r="1182">
      <c r="A1182" s="35"/>
    </row>
    <row r="1183">
      <c r="A1183" s="35"/>
    </row>
    <row r="1184">
      <c r="A1184" s="35"/>
    </row>
    <row r="1185">
      <c r="A1185" s="35"/>
    </row>
    <row r="1186">
      <c r="A1186" s="35"/>
    </row>
    <row r="1187">
      <c r="A1187" s="35"/>
    </row>
    <row r="1188">
      <c r="A1188" s="35"/>
    </row>
    <row r="1189">
      <c r="A1189" s="35"/>
    </row>
    <row r="1190">
      <c r="A1190" s="35"/>
    </row>
    <row r="1191">
      <c r="A1191" s="35"/>
    </row>
    <row r="1192">
      <c r="A1192" s="35"/>
    </row>
    <row r="1193">
      <c r="A1193" s="35"/>
    </row>
    <row r="1194">
      <c r="A1194" s="35"/>
    </row>
    <row r="1195">
      <c r="A1195" s="35"/>
    </row>
    <row r="1196">
      <c r="A1196" s="35"/>
    </row>
    <row r="1197">
      <c r="A1197" s="35"/>
    </row>
    <row r="1198">
      <c r="A1198" s="35"/>
    </row>
    <row r="1199">
      <c r="A1199" s="35"/>
    </row>
    <row r="1200">
      <c r="A1200" s="35"/>
    </row>
    <row r="1201">
      <c r="A1201" s="35"/>
    </row>
    <row r="1202">
      <c r="A1202" s="35"/>
    </row>
    <row r="1203">
      <c r="A1203" s="35"/>
    </row>
    <row r="1204">
      <c r="A1204" s="35"/>
    </row>
    <row r="1205">
      <c r="A1205" s="35"/>
    </row>
    <row r="1206">
      <c r="A1206" s="35"/>
    </row>
    <row r="1207">
      <c r="A1207" s="35"/>
    </row>
    <row r="1208">
      <c r="A1208" s="35"/>
    </row>
    <row r="1209">
      <c r="A1209" s="35"/>
    </row>
    <row r="1210">
      <c r="A1210" s="35"/>
    </row>
    <row r="1211">
      <c r="A1211" s="35"/>
    </row>
    <row r="1212">
      <c r="A1212" s="35"/>
    </row>
    <row r="1213">
      <c r="A1213" s="35"/>
    </row>
    <row r="1214">
      <c r="A1214" s="35"/>
    </row>
    <row r="1215">
      <c r="A1215" s="35"/>
    </row>
    <row r="1216">
      <c r="A1216" s="35"/>
    </row>
    <row r="1217">
      <c r="A1217" s="35"/>
    </row>
    <row r="1218">
      <c r="A1218" s="35"/>
    </row>
    <row r="1219">
      <c r="A1219" s="35"/>
    </row>
    <row r="1220">
      <c r="A1220" s="35"/>
    </row>
    <row r="1221">
      <c r="A1221" s="35"/>
    </row>
    <row r="1222">
      <c r="A1222" s="35"/>
    </row>
    <row r="1223">
      <c r="A1223" s="35"/>
    </row>
    <row r="1224">
      <c r="A1224" s="35"/>
    </row>
    <row r="1225">
      <c r="A1225" s="35"/>
    </row>
    <row r="1226">
      <c r="A1226" s="35"/>
    </row>
    <row r="1227">
      <c r="A1227" s="35"/>
    </row>
    <row r="1228">
      <c r="A1228" s="35"/>
    </row>
    <row r="1229">
      <c r="A1229" s="35"/>
    </row>
    <row r="1230">
      <c r="A1230" s="35"/>
    </row>
    <row r="1231">
      <c r="A1231" s="35"/>
    </row>
    <row r="1232">
      <c r="A1232" s="35"/>
    </row>
    <row r="1233">
      <c r="A1233" s="35"/>
    </row>
    <row r="1234">
      <c r="A1234" s="35"/>
    </row>
    <row r="1235">
      <c r="A1235" s="35"/>
    </row>
    <row r="1236">
      <c r="A1236" s="35"/>
    </row>
    <row r="1237">
      <c r="A1237" s="35"/>
    </row>
    <row r="1238">
      <c r="A1238" s="35"/>
    </row>
    <row r="1239">
      <c r="A1239" s="35"/>
    </row>
    <row r="1240">
      <c r="A1240" s="35"/>
    </row>
    <row r="1241">
      <c r="A1241" s="35"/>
    </row>
    <row r="1242">
      <c r="A1242" s="35"/>
    </row>
    <row r="1243">
      <c r="A1243" s="35"/>
    </row>
    <row r="1244">
      <c r="A1244" s="35"/>
    </row>
    <row r="1245">
      <c r="A1245" s="35"/>
    </row>
    <row r="1246">
      <c r="A1246" s="35"/>
    </row>
    <row r="1247">
      <c r="A1247" s="35"/>
    </row>
    <row r="1248">
      <c r="A1248" s="35"/>
    </row>
    <row r="1249">
      <c r="A1249" s="35"/>
    </row>
    <row r="1250">
      <c r="A1250" s="35"/>
    </row>
    <row r="1251">
      <c r="A1251" s="35"/>
    </row>
    <row r="1252">
      <c r="A1252" s="35"/>
    </row>
    <row r="1253">
      <c r="A1253" s="35"/>
    </row>
    <row r="1254">
      <c r="A1254" s="35"/>
    </row>
    <row r="1255">
      <c r="A1255" s="35"/>
    </row>
    <row r="1256">
      <c r="A1256" s="35"/>
    </row>
    <row r="1257">
      <c r="A1257" s="35"/>
    </row>
    <row r="1258">
      <c r="A1258" s="35"/>
    </row>
    <row r="1259">
      <c r="A1259" s="35"/>
    </row>
    <row r="1260">
      <c r="A1260" s="35"/>
    </row>
    <row r="1261">
      <c r="A1261" s="35"/>
    </row>
    <row r="1262">
      <c r="A1262" s="35"/>
    </row>
    <row r="1263">
      <c r="A1263" s="35"/>
    </row>
    <row r="1264">
      <c r="A1264" s="35"/>
    </row>
    <row r="1265">
      <c r="A1265" s="35"/>
    </row>
    <row r="1266">
      <c r="A1266" s="35"/>
    </row>
    <row r="1267">
      <c r="A1267" s="35"/>
    </row>
    <row r="1268">
      <c r="A1268" s="35"/>
    </row>
    <row r="1269">
      <c r="A1269" s="35"/>
    </row>
    <row r="1270">
      <c r="A1270" s="35"/>
    </row>
    <row r="1271">
      <c r="A1271" s="35"/>
    </row>
    <row r="1272">
      <c r="A1272" s="35"/>
    </row>
    <row r="1273">
      <c r="A1273" s="35"/>
    </row>
    <row r="1274">
      <c r="A1274" s="35"/>
    </row>
    <row r="1275">
      <c r="A1275" s="35"/>
    </row>
    <row r="1276">
      <c r="A1276" s="35"/>
    </row>
    <row r="1277">
      <c r="A1277" s="35"/>
    </row>
    <row r="1278">
      <c r="A1278" s="35"/>
    </row>
    <row r="1279">
      <c r="A1279" s="35"/>
    </row>
    <row r="1280">
      <c r="A1280" s="35"/>
    </row>
    <row r="1281">
      <c r="A1281" s="35"/>
    </row>
    <row r="1282">
      <c r="A1282" s="35"/>
    </row>
    <row r="1283">
      <c r="A1283" s="35"/>
    </row>
    <row r="1284">
      <c r="A1284" s="35"/>
    </row>
    <row r="1285">
      <c r="A1285" s="35"/>
    </row>
    <row r="1286">
      <c r="A1286" s="35"/>
    </row>
    <row r="1287">
      <c r="A1287" s="35"/>
    </row>
    <row r="1288">
      <c r="A1288" s="35"/>
    </row>
    <row r="1289">
      <c r="A1289" s="35"/>
    </row>
    <row r="1290">
      <c r="A1290" s="35"/>
    </row>
    <row r="1291">
      <c r="A1291" s="35"/>
    </row>
    <row r="1292">
      <c r="A1292" s="35"/>
    </row>
    <row r="1293">
      <c r="A1293" s="35"/>
    </row>
    <row r="1294">
      <c r="A1294" s="35"/>
    </row>
    <row r="1295">
      <c r="A1295" s="35"/>
    </row>
    <row r="1296">
      <c r="A1296" s="35"/>
    </row>
    <row r="1297">
      <c r="A1297" s="35"/>
    </row>
    <row r="1298">
      <c r="A1298" s="35"/>
    </row>
    <row r="1299">
      <c r="A1299" s="35"/>
    </row>
    <row r="1300">
      <c r="A1300" s="35"/>
    </row>
    <row r="1301">
      <c r="A1301" s="35"/>
    </row>
    <row r="1302">
      <c r="A1302" s="35"/>
    </row>
    <row r="1303">
      <c r="A1303" s="35"/>
    </row>
    <row r="1304">
      <c r="A1304" s="35"/>
    </row>
    <row r="1305">
      <c r="A1305" s="35"/>
    </row>
    <row r="1306">
      <c r="A1306" s="35"/>
    </row>
    <row r="1307">
      <c r="A1307" s="35"/>
    </row>
    <row r="1308">
      <c r="A1308" s="35"/>
    </row>
    <row r="1309">
      <c r="A1309" s="35"/>
    </row>
    <row r="1310">
      <c r="A1310" s="35"/>
    </row>
    <row r="1311">
      <c r="A1311" s="35"/>
    </row>
    <row r="1312">
      <c r="A1312" s="35"/>
    </row>
    <row r="1313">
      <c r="A1313" s="35"/>
    </row>
    <row r="1314">
      <c r="A1314" s="35"/>
    </row>
    <row r="1315">
      <c r="A1315" s="35"/>
    </row>
    <row r="1316">
      <c r="A1316" s="35"/>
    </row>
    <row r="1317">
      <c r="A1317" s="35"/>
    </row>
    <row r="1318">
      <c r="A1318" s="35"/>
    </row>
    <row r="1319">
      <c r="A1319" s="35"/>
    </row>
    <row r="1320">
      <c r="A1320" s="35"/>
    </row>
    <row r="1321">
      <c r="A1321" s="35"/>
    </row>
    <row r="1322">
      <c r="A1322" s="35"/>
    </row>
    <row r="1323">
      <c r="A1323" s="35"/>
    </row>
    <row r="1324">
      <c r="A1324" s="35"/>
    </row>
    <row r="1325">
      <c r="A1325" s="3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" t="s">
        <v>829</v>
      </c>
      <c r="B1" s="2" t="s">
        <v>830</v>
      </c>
      <c r="C1" s="2" t="s">
        <v>831</v>
      </c>
      <c r="D1" s="2" t="s">
        <v>832</v>
      </c>
      <c r="E1" s="2" t="s">
        <v>833</v>
      </c>
      <c r="F1" s="2" t="s">
        <v>834</v>
      </c>
      <c r="G1" s="2" t="s">
        <v>835</v>
      </c>
      <c r="H1" s="2" t="s">
        <v>836</v>
      </c>
      <c r="I1" s="2" t="s">
        <v>837</v>
      </c>
      <c r="J1" s="2" t="s">
        <v>838</v>
      </c>
      <c r="K1" s="2" t="s">
        <v>839</v>
      </c>
      <c r="L1" s="2" t="s">
        <v>840</v>
      </c>
      <c r="M1" s="2" t="s">
        <v>841</v>
      </c>
      <c r="N1" s="36" t="s">
        <v>0</v>
      </c>
      <c r="O1" s="2" t="s">
        <v>842</v>
      </c>
      <c r="P1" s="2" t="s">
        <v>843</v>
      </c>
      <c r="Q1" s="2" t="s">
        <v>844</v>
      </c>
      <c r="R1" s="2" t="s">
        <v>845</v>
      </c>
      <c r="S1" s="36" t="s">
        <v>846</v>
      </c>
      <c r="T1" s="36" t="s">
        <v>847</v>
      </c>
      <c r="U1" s="3"/>
      <c r="V1" s="3"/>
      <c r="W1" s="3"/>
      <c r="X1" s="3"/>
      <c r="Y1" s="3"/>
      <c r="Z1" s="3"/>
    </row>
    <row r="2">
      <c r="N2" s="37"/>
      <c r="S2" s="37"/>
      <c r="T2" s="37"/>
    </row>
    <row r="3">
      <c r="N3" s="37"/>
      <c r="S3" s="37"/>
      <c r="T3" s="37"/>
    </row>
    <row r="4">
      <c r="N4" s="37"/>
      <c r="S4" s="37"/>
      <c r="T4" s="37"/>
    </row>
    <row r="5">
      <c r="N5" s="37"/>
      <c r="S5" s="37"/>
      <c r="T5" s="37"/>
    </row>
    <row r="6">
      <c r="N6" s="37"/>
      <c r="S6" s="37"/>
      <c r="T6" s="37"/>
    </row>
    <row r="7">
      <c r="N7" s="37"/>
      <c r="S7" s="37"/>
      <c r="T7" s="37"/>
    </row>
    <row r="8">
      <c r="N8" s="37"/>
      <c r="S8" s="37"/>
      <c r="T8" s="37"/>
    </row>
    <row r="9">
      <c r="N9" s="37"/>
      <c r="S9" s="37"/>
      <c r="T9" s="37"/>
    </row>
    <row r="10">
      <c r="N10" s="37"/>
      <c r="S10" s="37"/>
      <c r="T10" s="37"/>
    </row>
    <row r="11">
      <c r="N11" s="37"/>
      <c r="S11" s="37"/>
      <c r="T11" s="37"/>
    </row>
    <row r="12">
      <c r="N12" s="37"/>
      <c r="S12" s="37"/>
      <c r="T12" s="37"/>
    </row>
    <row r="13">
      <c r="N13" s="37"/>
      <c r="S13" s="37"/>
      <c r="T13" s="37"/>
    </row>
    <row r="14">
      <c r="N14" s="37"/>
      <c r="S14" s="37"/>
      <c r="T14" s="37"/>
    </row>
    <row r="15">
      <c r="N15" s="37"/>
      <c r="S15" s="37"/>
      <c r="T15" s="37"/>
    </row>
    <row r="16">
      <c r="N16" s="37"/>
      <c r="S16" s="37"/>
      <c r="T16" s="37"/>
    </row>
    <row r="17">
      <c r="N17" s="37"/>
      <c r="S17" s="37"/>
      <c r="T17" s="37"/>
    </row>
    <row r="18">
      <c r="N18" s="37"/>
      <c r="S18" s="37"/>
      <c r="T18" s="37"/>
    </row>
    <row r="19">
      <c r="N19" s="37"/>
      <c r="S19" s="37"/>
      <c r="T19" s="37"/>
    </row>
    <row r="20">
      <c r="N20" s="37"/>
      <c r="S20" s="37"/>
      <c r="T20" s="37"/>
    </row>
    <row r="21">
      <c r="N21" s="37"/>
      <c r="S21" s="37"/>
      <c r="T21" s="37"/>
    </row>
    <row r="22">
      <c r="N22" s="37"/>
      <c r="S22" s="37"/>
      <c r="T22" s="37"/>
    </row>
    <row r="23">
      <c r="N23" s="37"/>
      <c r="S23" s="37"/>
      <c r="T23" s="37"/>
    </row>
    <row r="24">
      <c r="N24" s="37"/>
      <c r="S24" s="37"/>
      <c r="T24" s="37"/>
    </row>
    <row r="25">
      <c r="N25" s="37"/>
      <c r="S25" s="37"/>
      <c r="T25" s="37"/>
    </row>
    <row r="26">
      <c r="N26" s="37"/>
      <c r="S26" s="37"/>
      <c r="T26" s="37"/>
    </row>
    <row r="27">
      <c r="N27" s="37"/>
      <c r="S27" s="37"/>
      <c r="T27" s="37"/>
    </row>
    <row r="28">
      <c r="N28" s="37"/>
      <c r="S28" s="37"/>
      <c r="T28" s="37"/>
    </row>
    <row r="29">
      <c r="N29" s="37"/>
      <c r="S29" s="37"/>
      <c r="T29" s="37"/>
    </row>
    <row r="30">
      <c r="N30" s="37"/>
      <c r="S30" s="37"/>
      <c r="T30" s="37"/>
    </row>
    <row r="31">
      <c r="N31" s="37"/>
      <c r="S31" s="37"/>
      <c r="T31" s="37"/>
    </row>
    <row r="32">
      <c r="N32" s="37"/>
      <c r="S32" s="37"/>
      <c r="T32" s="37"/>
    </row>
    <row r="33">
      <c r="N33" s="37"/>
      <c r="S33" s="37"/>
      <c r="T33" s="37"/>
    </row>
    <row r="34">
      <c r="N34" s="37"/>
      <c r="S34" s="37"/>
      <c r="T34" s="37"/>
    </row>
    <row r="35">
      <c r="N35" s="37"/>
      <c r="S35" s="37"/>
      <c r="T35" s="37"/>
    </row>
    <row r="36">
      <c r="N36" s="37"/>
      <c r="S36" s="37"/>
      <c r="T36" s="37"/>
    </row>
    <row r="37">
      <c r="N37" s="37"/>
      <c r="S37" s="37"/>
      <c r="T37" s="37"/>
    </row>
    <row r="38">
      <c r="N38" s="37"/>
      <c r="S38" s="37"/>
      <c r="T38" s="37"/>
    </row>
    <row r="39">
      <c r="N39" s="37"/>
      <c r="S39" s="37"/>
      <c r="T39" s="37"/>
    </row>
    <row r="40">
      <c r="N40" s="37"/>
      <c r="S40" s="37"/>
      <c r="T40" s="37"/>
    </row>
    <row r="41">
      <c r="N41" s="37"/>
      <c r="S41" s="37"/>
      <c r="T41" s="37"/>
    </row>
    <row r="42">
      <c r="N42" s="37"/>
      <c r="S42" s="37"/>
      <c r="T42" s="37"/>
    </row>
    <row r="43">
      <c r="N43" s="37"/>
      <c r="S43" s="37"/>
      <c r="T43" s="37"/>
    </row>
    <row r="44">
      <c r="N44" s="37"/>
      <c r="S44" s="37"/>
      <c r="T44" s="37"/>
    </row>
    <row r="45">
      <c r="N45" s="37"/>
      <c r="S45" s="37"/>
      <c r="T45" s="37"/>
    </row>
    <row r="46">
      <c r="N46" s="37"/>
      <c r="S46" s="37"/>
      <c r="T46" s="37"/>
    </row>
    <row r="47">
      <c r="N47" s="37"/>
      <c r="S47" s="37"/>
      <c r="T47" s="37"/>
    </row>
    <row r="48">
      <c r="N48" s="37"/>
      <c r="S48" s="37"/>
      <c r="T48" s="37"/>
    </row>
    <row r="49">
      <c r="N49" s="37"/>
      <c r="S49" s="37"/>
      <c r="T49" s="37"/>
    </row>
    <row r="50">
      <c r="N50" s="37"/>
      <c r="S50" s="37"/>
      <c r="T50" s="37"/>
    </row>
    <row r="51">
      <c r="N51" s="37"/>
      <c r="S51" s="37"/>
      <c r="T51" s="37"/>
    </row>
    <row r="52">
      <c r="N52" s="37"/>
      <c r="S52" s="37"/>
      <c r="T52" s="37"/>
    </row>
    <row r="53">
      <c r="N53" s="37"/>
      <c r="S53" s="37"/>
      <c r="T53" s="37"/>
    </row>
    <row r="54">
      <c r="N54" s="37"/>
      <c r="S54" s="37"/>
      <c r="T54" s="37"/>
    </row>
    <row r="55">
      <c r="N55" s="37"/>
      <c r="S55" s="37"/>
      <c r="T55" s="37"/>
    </row>
    <row r="56">
      <c r="N56" s="37"/>
      <c r="S56" s="37"/>
      <c r="T56" s="37"/>
    </row>
    <row r="57">
      <c r="N57" s="37"/>
      <c r="S57" s="37"/>
      <c r="T57" s="37"/>
    </row>
    <row r="58">
      <c r="N58" s="37"/>
      <c r="S58" s="37"/>
      <c r="T58" s="37"/>
    </row>
    <row r="59">
      <c r="N59" s="37"/>
      <c r="S59" s="37"/>
      <c r="T59" s="37"/>
    </row>
    <row r="60">
      <c r="N60" s="37"/>
      <c r="S60" s="37"/>
      <c r="T60" s="37"/>
    </row>
    <row r="61">
      <c r="N61" s="37"/>
      <c r="S61" s="37"/>
      <c r="T61" s="37"/>
    </row>
    <row r="62">
      <c r="N62" s="37"/>
      <c r="S62" s="37"/>
      <c r="T62" s="37"/>
    </row>
    <row r="63">
      <c r="N63" s="37"/>
      <c r="S63" s="37"/>
      <c r="T63" s="37"/>
    </row>
    <row r="64">
      <c r="N64" s="37"/>
      <c r="S64" s="37"/>
      <c r="T64" s="37"/>
    </row>
    <row r="65">
      <c r="N65" s="37"/>
      <c r="S65" s="37"/>
      <c r="T65" s="37"/>
    </row>
    <row r="66">
      <c r="N66" s="37"/>
      <c r="S66" s="37"/>
      <c r="T66" s="37"/>
    </row>
    <row r="67">
      <c r="N67" s="37"/>
      <c r="S67" s="37"/>
      <c r="T67" s="37"/>
    </row>
    <row r="68">
      <c r="N68" s="37"/>
      <c r="S68" s="37"/>
      <c r="T68" s="37"/>
    </row>
    <row r="69">
      <c r="N69" s="37"/>
      <c r="S69" s="37"/>
      <c r="T69" s="37"/>
    </row>
    <row r="70">
      <c r="N70" s="37"/>
      <c r="S70" s="37"/>
      <c r="T70" s="37"/>
    </row>
    <row r="71">
      <c r="N71" s="37"/>
      <c r="S71" s="37"/>
      <c r="T71" s="37"/>
    </row>
    <row r="72">
      <c r="N72" s="37"/>
      <c r="S72" s="37"/>
      <c r="T72" s="37"/>
    </row>
    <row r="73">
      <c r="N73" s="37"/>
      <c r="S73" s="37"/>
      <c r="T73" s="37"/>
    </row>
    <row r="74">
      <c r="N74" s="37"/>
      <c r="S74" s="37"/>
      <c r="T74" s="37"/>
    </row>
    <row r="75">
      <c r="N75" s="37"/>
      <c r="S75" s="37"/>
      <c r="T75" s="37"/>
    </row>
    <row r="76">
      <c r="N76" s="37"/>
      <c r="S76" s="37"/>
      <c r="T76" s="37"/>
    </row>
    <row r="77">
      <c r="N77" s="37"/>
      <c r="S77" s="37"/>
      <c r="T77" s="37"/>
    </row>
    <row r="78">
      <c r="N78" s="37"/>
      <c r="S78" s="37"/>
      <c r="T78" s="37"/>
    </row>
    <row r="79">
      <c r="N79" s="37"/>
      <c r="S79" s="37"/>
      <c r="T79" s="37"/>
    </row>
    <row r="80">
      <c r="N80" s="37"/>
      <c r="S80" s="37"/>
      <c r="T80" s="37"/>
    </row>
    <row r="81">
      <c r="N81" s="37"/>
      <c r="S81" s="37"/>
      <c r="T81" s="37"/>
    </row>
    <row r="82">
      <c r="N82" s="37"/>
      <c r="S82" s="37"/>
      <c r="T82" s="37"/>
    </row>
    <row r="83">
      <c r="N83" s="37"/>
      <c r="S83" s="37"/>
      <c r="T83" s="37"/>
    </row>
    <row r="84">
      <c r="N84" s="37"/>
      <c r="S84" s="37"/>
      <c r="T84" s="37"/>
    </row>
    <row r="85">
      <c r="N85" s="37"/>
      <c r="S85" s="37"/>
      <c r="T85" s="37"/>
    </row>
    <row r="86">
      <c r="N86" s="37"/>
      <c r="S86" s="37"/>
      <c r="T86" s="37"/>
    </row>
    <row r="87">
      <c r="N87" s="37"/>
      <c r="S87" s="37"/>
      <c r="T87" s="37"/>
    </row>
    <row r="88">
      <c r="N88" s="37"/>
      <c r="S88" s="37"/>
      <c r="T88" s="37"/>
    </row>
    <row r="89">
      <c r="N89" s="37"/>
      <c r="S89" s="37"/>
      <c r="T89" s="37"/>
    </row>
    <row r="90">
      <c r="N90" s="37"/>
      <c r="S90" s="37"/>
      <c r="T90" s="37"/>
    </row>
    <row r="91">
      <c r="N91" s="37"/>
      <c r="S91" s="37"/>
      <c r="T91" s="37"/>
    </row>
    <row r="92">
      <c r="N92" s="37"/>
      <c r="S92" s="37"/>
      <c r="T92" s="37"/>
    </row>
    <row r="93">
      <c r="N93" s="37"/>
      <c r="S93" s="37"/>
      <c r="T93" s="37"/>
    </row>
    <row r="94">
      <c r="N94" s="37"/>
      <c r="S94" s="37"/>
      <c r="T94" s="37"/>
    </row>
    <row r="95">
      <c r="N95" s="37"/>
      <c r="S95" s="37"/>
      <c r="T95" s="37"/>
    </row>
    <row r="96">
      <c r="N96" s="37"/>
      <c r="S96" s="37"/>
      <c r="T96" s="37"/>
    </row>
    <row r="97">
      <c r="N97" s="37"/>
      <c r="S97" s="37"/>
      <c r="T97" s="37"/>
    </row>
    <row r="98">
      <c r="N98" s="37"/>
      <c r="S98" s="37"/>
      <c r="T98" s="37"/>
    </row>
    <row r="99">
      <c r="N99" s="37"/>
      <c r="S99" s="37"/>
      <c r="T99" s="37"/>
    </row>
    <row r="100">
      <c r="N100" s="37"/>
      <c r="S100" s="37"/>
      <c r="T100" s="37"/>
    </row>
    <row r="101">
      <c r="N101" s="37"/>
      <c r="S101" s="37"/>
      <c r="T101" s="37"/>
    </row>
    <row r="102">
      <c r="N102" s="37"/>
      <c r="S102" s="37"/>
      <c r="T102" s="37"/>
    </row>
    <row r="103">
      <c r="N103" s="37"/>
      <c r="S103" s="37"/>
      <c r="T103" s="37"/>
    </row>
    <row r="104">
      <c r="N104" s="37"/>
      <c r="S104" s="37"/>
      <c r="T104" s="37"/>
    </row>
    <row r="105">
      <c r="N105" s="37"/>
      <c r="S105" s="37"/>
      <c r="T105" s="37"/>
    </row>
    <row r="106">
      <c r="N106" s="37"/>
      <c r="S106" s="37"/>
      <c r="T106" s="37"/>
    </row>
    <row r="107">
      <c r="N107" s="37"/>
      <c r="S107" s="37"/>
      <c r="T107" s="37"/>
    </row>
    <row r="108">
      <c r="N108" s="37"/>
      <c r="S108" s="37"/>
      <c r="T108" s="37"/>
    </row>
    <row r="109">
      <c r="N109" s="37"/>
      <c r="S109" s="37"/>
      <c r="T109" s="37"/>
    </row>
    <row r="110">
      <c r="N110" s="37"/>
      <c r="S110" s="37"/>
      <c r="T110" s="37"/>
    </row>
    <row r="111">
      <c r="N111" s="37"/>
      <c r="S111" s="37"/>
      <c r="T111" s="37"/>
    </row>
    <row r="112">
      <c r="N112" s="37"/>
      <c r="S112" s="37"/>
      <c r="T112" s="37"/>
    </row>
    <row r="113">
      <c r="N113" s="37"/>
      <c r="S113" s="37"/>
      <c r="T113" s="37"/>
    </row>
    <row r="114">
      <c r="N114" s="37"/>
      <c r="S114" s="37"/>
      <c r="T114" s="37"/>
    </row>
    <row r="115">
      <c r="N115" s="37"/>
      <c r="S115" s="37"/>
      <c r="T115" s="37"/>
    </row>
    <row r="116">
      <c r="N116" s="37"/>
      <c r="S116" s="37"/>
      <c r="T116" s="37"/>
    </row>
    <row r="117">
      <c r="N117" s="37"/>
      <c r="S117" s="37"/>
      <c r="T117" s="37"/>
    </row>
    <row r="118">
      <c r="N118" s="37"/>
      <c r="S118" s="37"/>
      <c r="T118" s="37"/>
    </row>
    <row r="119">
      <c r="N119" s="37"/>
      <c r="S119" s="37"/>
      <c r="T119" s="37"/>
    </row>
    <row r="120">
      <c r="N120" s="37"/>
      <c r="S120" s="37"/>
      <c r="T120" s="37"/>
    </row>
    <row r="121">
      <c r="N121" s="37"/>
      <c r="S121" s="37"/>
      <c r="T121" s="37"/>
    </row>
    <row r="122">
      <c r="N122" s="37"/>
      <c r="S122" s="37"/>
      <c r="T122" s="37"/>
    </row>
    <row r="123">
      <c r="N123" s="37"/>
      <c r="S123" s="37"/>
      <c r="T123" s="37"/>
    </row>
    <row r="124">
      <c r="N124" s="37"/>
      <c r="S124" s="37"/>
      <c r="T124" s="37"/>
    </row>
    <row r="125">
      <c r="N125" s="37"/>
      <c r="S125" s="37"/>
      <c r="T125" s="37"/>
    </row>
    <row r="126">
      <c r="N126" s="37"/>
      <c r="S126" s="37"/>
      <c r="T126" s="37"/>
    </row>
    <row r="127">
      <c r="N127" s="37"/>
      <c r="S127" s="37"/>
      <c r="T127" s="37"/>
    </row>
    <row r="128">
      <c r="N128" s="37"/>
      <c r="S128" s="37"/>
      <c r="T128" s="37"/>
    </row>
    <row r="129">
      <c r="N129" s="37"/>
      <c r="S129" s="37"/>
      <c r="T129" s="37"/>
    </row>
    <row r="130">
      <c r="N130" s="37"/>
      <c r="S130" s="37"/>
      <c r="T130" s="37"/>
    </row>
    <row r="131">
      <c r="N131" s="37"/>
      <c r="S131" s="37"/>
      <c r="T131" s="37"/>
    </row>
    <row r="132">
      <c r="N132" s="37"/>
      <c r="S132" s="37"/>
      <c r="T132" s="37"/>
    </row>
    <row r="133">
      <c r="N133" s="37"/>
      <c r="S133" s="37"/>
      <c r="T133" s="37"/>
    </row>
    <row r="134">
      <c r="N134" s="37"/>
      <c r="S134" s="37"/>
      <c r="T134" s="37"/>
    </row>
    <row r="135">
      <c r="N135" s="37"/>
      <c r="S135" s="37"/>
      <c r="T135" s="37"/>
    </row>
    <row r="136">
      <c r="N136" s="37"/>
      <c r="S136" s="37"/>
      <c r="T136" s="37"/>
    </row>
    <row r="137">
      <c r="N137" s="37"/>
      <c r="S137" s="37"/>
      <c r="T137" s="37"/>
    </row>
    <row r="138">
      <c r="N138" s="37"/>
      <c r="S138" s="37"/>
      <c r="T138" s="37"/>
    </row>
    <row r="139">
      <c r="N139" s="37"/>
      <c r="S139" s="37"/>
      <c r="T139" s="37"/>
    </row>
    <row r="140">
      <c r="N140" s="37"/>
      <c r="S140" s="37"/>
      <c r="T140" s="37"/>
    </row>
    <row r="141">
      <c r="N141" s="37"/>
      <c r="S141" s="37"/>
      <c r="T141" s="37"/>
    </row>
    <row r="142">
      <c r="N142" s="37"/>
      <c r="S142" s="37"/>
      <c r="T142" s="37"/>
    </row>
    <row r="143">
      <c r="N143" s="37"/>
      <c r="S143" s="37"/>
      <c r="T143" s="37"/>
    </row>
    <row r="144">
      <c r="N144" s="37"/>
      <c r="S144" s="37"/>
      <c r="T144" s="37"/>
    </row>
    <row r="145">
      <c r="N145" s="37"/>
      <c r="S145" s="37"/>
      <c r="T145" s="37"/>
    </row>
    <row r="146">
      <c r="N146" s="37"/>
      <c r="S146" s="37"/>
      <c r="T146" s="37"/>
    </row>
    <row r="147">
      <c r="N147" s="37"/>
      <c r="S147" s="37"/>
      <c r="T147" s="37"/>
    </row>
    <row r="148">
      <c r="N148" s="37"/>
      <c r="S148" s="37"/>
      <c r="T148" s="37"/>
    </row>
    <row r="149">
      <c r="N149" s="37"/>
      <c r="S149" s="37"/>
      <c r="T149" s="37"/>
    </row>
    <row r="150">
      <c r="N150" s="37"/>
      <c r="S150" s="37"/>
      <c r="T150" s="37"/>
    </row>
    <row r="151">
      <c r="N151" s="37"/>
      <c r="S151" s="37"/>
      <c r="T151" s="37"/>
    </row>
    <row r="152">
      <c r="N152" s="37"/>
      <c r="S152" s="37"/>
      <c r="T152" s="37"/>
    </row>
    <row r="153">
      <c r="N153" s="37"/>
      <c r="S153" s="37"/>
      <c r="T153" s="37"/>
    </row>
    <row r="154">
      <c r="N154" s="37"/>
      <c r="S154" s="37"/>
      <c r="T154" s="37"/>
    </row>
    <row r="155">
      <c r="N155" s="37"/>
      <c r="S155" s="37"/>
      <c r="T155" s="37"/>
    </row>
    <row r="156">
      <c r="N156" s="37"/>
      <c r="S156" s="37"/>
      <c r="T156" s="37"/>
    </row>
    <row r="157">
      <c r="N157" s="37"/>
      <c r="S157" s="37"/>
      <c r="T157" s="37"/>
    </row>
    <row r="158">
      <c r="N158" s="37"/>
      <c r="S158" s="37"/>
      <c r="T158" s="37"/>
    </row>
    <row r="159">
      <c r="N159" s="37"/>
      <c r="S159" s="37"/>
      <c r="T159" s="37"/>
    </row>
    <row r="160">
      <c r="N160" s="37"/>
      <c r="S160" s="37"/>
      <c r="T160" s="37"/>
    </row>
    <row r="161">
      <c r="N161" s="37"/>
      <c r="S161" s="37"/>
      <c r="T161" s="37"/>
    </row>
    <row r="162">
      <c r="N162" s="37"/>
      <c r="S162" s="37"/>
      <c r="T162" s="37"/>
    </row>
    <row r="163">
      <c r="N163" s="37"/>
      <c r="S163" s="37"/>
      <c r="T163" s="37"/>
    </row>
    <row r="164">
      <c r="N164" s="37"/>
      <c r="S164" s="37"/>
      <c r="T164" s="37"/>
    </row>
    <row r="165">
      <c r="N165" s="37"/>
      <c r="S165" s="37"/>
      <c r="T165" s="37"/>
    </row>
    <row r="166">
      <c r="N166" s="37"/>
      <c r="S166" s="37"/>
      <c r="T166" s="37"/>
    </row>
    <row r="167">
      <c r="N167" s="37"/>
      <c r="S167" s="37"/>
      <c r="T167" s="37"/>
    </row>
    <row r="168">
      <c r="N168" s="37"/>
      <c r="S168" s="37"/>
      <c r="T168" s="37"/>
    </row>
    <row r="169">
      <c r="N169" s="37"/>
      <c r="S169" s="37"/>
      <c r="T169" s="37"/>
    </row>
    <row r="170">
      <c r="N170" s="37"/>
      <c r="S170" s="37"/>
      <c r="T170" s="37"/>
    </row>
    <row r="171">
      <c r="N171" s="37"/>
      <c r="S171" s="37"/>
      <c r="T171" s="37"/>
    </row>
    <row r="172">
      <c r="N172" s="37"/>
      <c r="S172" s="37"/>
      <c r="T172" s="37"/>
    </row>
    <row r="173">
      <c r="N173" s="37"/>
      <c r="S173" s="37"/>
      <c r="T173" s="37"/>
    </row>
    <row r="174">
      <c r="N174" s="37"/>
      <c r="S174" s="37"/>
      <c r="T174" s="37"/>
    </row>
    <row r="175">
      <c r="N175" s="37"/>
      <c r="S175" s="37"/>
      <c r="T175" s="37"/>
    </row>
    <row r="176">
      <c r="N176" s="37"/>
      <c r="S176" s="37"/>
      <c r="T176" s="37"/>
    </row>
    <row r="177">
      <c r="N177" s="37"/>
      <c r="S177" s="37"/>
      <c r="T177" s="37"/>
    </row>
    <row r="178">
      <c r="N178" s="37"/>
      <c r="S178" s="37"/>
      <c r="T178" s="37"/>
    </row>
    <row r="179">
      <c r="N179" s="37"/>
      <c r="S179" s="37"/>
      <c r="T179" s="37"/>
    </row>
    <row r="180">
      <c r="N180" s="37"/>
      <c r="S180" s="37"/>
      <c r="T180" s="37"/>
    </row>
    <row r="181">
      <c r="N181" s="37"/>
      <c r="S181" s="37"/>
      <c r="T181" s="37"/>
    </row>
    <row r="182">
      <c r="N182" s="37"/>
      <c r="S182" s="37"/>
      <c r="T182" s="37"/>
    </row>
    <row r="183">
      <c r="N183" s="37"/>
      <c r="S183" s="37"/>
      <c r="T183" s="37"/>
    </row>
    <row r="184">
      <c r="N184" s="37"/>
      <c r="S184" s="37"/>
      <c r="T184" s="37"/>
    </row>
    <row r="185">
      <c r="N185" s="37"/>
      <c r="S185" s="37"/>
      <c r="T185" s="37"/>
    </row>
    <row r="186">
      <c r="N186" s="37"/>
      <c r="S186" s="37"/>
      <c r="T186" s="37"/>
    </row>
    <row r="187">
      <c r="N187" s="37"/>
      <c r="S187" s="37"/>
      <c r="T187" s="37"/>
    </row>
    <row r="188">
      <c r="N188" s="37"/>
      <c r="S188" s="37"/>
      <c r="T188" s="37"/>
    </row>
    <row r="189">
      <c r="N189" s="37"/>
      <c r="S189" s="37"/>
      <c r="T189" s="37"/>
    </row>
    <row r="190">
      <c r="N190" s="37"/>
      <c r="S190" s="37"/>
      <c r="T190" s="37"/>
    </row>
    <row r="191">
      <c r="N191" s="37"/>
      <c r="S191" s="37"/>
      <c r="T191" s="37"/>
    </row>
    <row r="192">
      <c r="N192" s="37"/>
      <c r="S192" s="37"/>
      <c r="T192" s="37"/>
    </row>
    <row r="193">
      <c r="N193" s="37"/>
      <c r="S193" s="37"/>
      <c r="T193" s="37"/>
    </row>
    <row r="194">
      <c r="N194" s="37"/>
      <c r="S194" s="37"/>
      <c r="T194" s="37"/>
    </row>
    <row r="195">
      <c r="N195" s="37"/>
      <c r="S195" s="37"/>
      <c r="T195" s="37"/>
    </row>
    <row r="196">
      <c r="N196" s="37"/>
      <c r="S196" s="37"/>
      <c r="T196" s="37"/>
    </row>
    <row r="197">
      <c r="N197" s="37"/>
      <c r="S197" s="37"/>
      <c r="T197" s="37"/>
    </row>
    <row r="198">
      <c r="N198" s="37"/>
      <c r="S198" s="37"/>
      <c r="T198" s="37"/>
    </row>
    <row r="199">
      <c r="N199" s="37"/>
      <c r="S199" s="37"/>
      <c r="T199" s="37"/>
    </row>
    <row r="200">
      <c r="N200" s="37"/>
      <c r="S200" s="37"/>
      <c r="T200" s="37"/>
    </row>
    <row r="201">
      <c r="N201" s="37"/>
      <c r="S201" s="37"/>
      <c r="T201" s="37"/>
    </row>
    <row r="202">
      <c r="N202" s="37"/>
      <c r="S202" s="37"/>
      <c r="T202" s="37"/>
    </row>
    <row r="203">
      <c r="N203" s="37"/>
      <c r="S203" s="37"/>
      <c r="T203" s="37"/>
    </row>
    <row r="204">
      <c r="N204" s="37"/>
      <c r="S204" s="37"/>
      <c r="T204" s="37"/>
    </row>
    <row r="205">
      <c r="N205" s="37"/>
      <c r="S205" s="37"/>
      <c r="T205" s="37"/>
    </row>
    <row r="206">
      <c r="N206" s="37"/>
      <c r="S206" s="37"/>
      <c r="T206" s="37"/>
    </row>
    <row r="207">
      <c r="N207" s="37"/>
      <c r="S207" s="37"/>
      <c r="T207" s="37"/>
    </row>
    <row r="208">
      <c r="N208" s="37"/>
      <c r="S208" s="37"/>
      <c r="T208" s="37"/>
    </row>
    <row r="209">
      <c r="N209" s="37"/>
      <c r="S209" s="37"/>
      <c r="T209" s="37"/>
    </row>
    <row r="210">
      <c r="N210" s="37"/>
      <c r="S210" s="37"/>
      <c r="T210" s="37"/>
    </row>
    <row r="211">
      <c r="N211" s="37"/>
      <c r="S211" s="37"/>
      <c r="T211" s="37"/>
    </row>
    <row r="212">
      <c r="N212" s="37"/>
      <c r="S212" s="37"/>
      <c r="T212" s="37"/>
    </row>
    <row r="213">
      <c r="N213" s="37"/>
      <c r="S213" s="37"/>
      <c r="T213" s="37"/>
    </row>
    <row r="214">
      <c r="N214" s="37"/>
      <c r="S214" s="37"/>
      <c r="T214" s="37"/>
    </row>
    <row r="215">
      <c r="N215" s="37"/>
      <c r="S215" s="37"/>
      <c r="T215" s="37"/>
    </row>
    <row r="216">
      <c r="N216" s="37"/>
      <c r="S216" s="37"/>
      <c r="T216" s="37"/>
    </row>
    <row r="217">
      <c r="N217" s="37"/>
      <c r="S217" s="37"/>
      <c r="T217" s="37"/>
    </row>
    <row r="218">
      <c r="N218" s="37"/>
      <c r="S218" s="37"/>
      <c r="T218" s="37"/>
    </row>
    <row r="219">
      <c r="N219" s="37"/>
      <c r="S219" s="37"/>
      <c r="T219" s="37"/>
    </row>
    <row r="220">
      <c r="N220" s="37"/>
      <c r="S220" s="37"/>
      <c r="T220" s="37"/>
    </row>
    <row r="221">
      <c r="N221" s="37"/>
      <c r="S221" s="37"/>
      <c r="T221" s="37"/>
    </row>
    <row r="222">
      <c r="N222" s="37"/>
      <c r="S222" s="37"/>
      <c r="T222" s="37"/>
    </row>
    <row r="223">
      <c r="N223" s="37"/>
      <c r="S223" s="37"/>
      <c r="T223" s="37"/>
    </row>
    <row r="224">
      <c r="N224" s="37"/>
      <c r="S224" s="37"/>
      <c r="T224" s="37"/>
    </row>
    <row r="225">
      <c r="N225" s="37"/>
      <c r="S225" s="37"/>
      <c r="T225" s="37"/>
    </row>
    <row r="226">
      <c r="N226" s="37"/>
      <c r="S226" s="37"/>
      <c r="T226" s="37"/>
    </row>
    <row r="227">
      <c r="N227" s="37"/>
      <c r="S227" s="37"/>
      <c r="T227" s="37"/>
    </row>
    <row r="228">
      <c r="N228" s="37"/>
      <c r="S228" s="37"/>
      <c r="T228" s="37"/>
    </row>
    <row r="229">
      <c r="N229" s="37"/>
      <c r="S229" s="37"/>
      <c r="T229" s="37"/>
    </row>
    <row r="230">
      <c r="N230" s="37"/>
      <c r="S230" s="37"/>
      <c r="T230" s="37"/>
    </row>
    <row r="231">
      <c r="N231" s="37"/>
      <c r="S231" s="37"/>
      <c r="T231" s="37"/>
    </row>
    <row r="232">
      <c r="N232" s="37"/>
      <c r="S232" s="37"/>
      <c r="T232" s="37"/>
    </row>
    <row r="233">
      <c r="N233" s="37"/>
      <c r="S233" s="37"/>
      <c r="T233" s="37"/>
    </row>
    <row r="234">
      <c r="N234" s="37"/>
      <c r="S234" s="37"/>
      <c r="T234" s="37"/>
    </row>
    <row r="235">
      <c r="N235" s="37"/>
      <c r="S235" s="37"/>
      <c r="T235" s="37"/>
    </row>
    <row r="236">
      <c r="N236" s="37"/>
      <c r="S236" s="37"/>
      <c r="T236" s="37"/>
    </row>
    <row r="237">
      <c r="N237" s="37"/>
      <c r="S237" s="37"/>
      <c r="T237" s="37"/>
    </row>
    <row r="238">
      <c r="N238" s="37"/>
      <c r="S238" s="37"/>
      <c r="T238" s="37"/>
    </row>
    <row r="239">
      <c r="N239" s="37"/>
      <c r="S239" s="37"/>
      <c r="T239" s="37"/>
    </row>
    <row r="240">
      <c r="N240" s="37"/>
      <c r="S240" s="37"/>
      <c r="T240" s="37"/>
    </row>
    <row r="241">
      <c r="N241" s="37"/>
      <c r="S241" s="37"/>
      <c r="T241" s="37"/>
    </row>
    <row r="242">
      <c r="N242" s="37"/>
      <c r="S242" s="37"/>
      <c r="T242" s="37"/>
    </row>
    <row r="243">
      <c r="N243" s="37"/>
      <c r="S243" s="37"/>
      <c r="T243" s="37"/>
    </row>
    <row r="244">
      <c r="N244" s="37"/>
      <c r="S244" s="37"/>
      <c r="T244" s="37"/>
    </row>
    <row r="245">
      <c r="N245" s="37"/>
      <c r="S245" s="37"/>
      <c r="T245" s="37"/>
    </row>
    <row r="246">
      <c r="N246" s="37"/>
      <c r="S246" s="37"/>
      <c r="T246" s="37"/>
    </row>
    <row r="247">
      <c r="N247" s="37"/>
      <c r="S247" s="37"/>
      <c r="T247" s="37"/>
    </row>
    <row r="248">
      <c r="N248" s="37"/>
      <c r="S248" s="37"/>
      <c r="T248" s="37"/>
    </row>
    <row r="249">
      <c r="N249" s="37"/>
      <c r="S249" s="37"/>
      <c r="T249" s="37"/>
    </row>
    <row r="250">
      <c r="N250" s="37"/>
      <c r="S250" s="37"/>
      <c r="T250" s="37"/>
    </row>
    <row r="251">
      <c r="N251" s="37"/>
      <c r="S251" s="37"/>
      <c r="T251" s="37"/>
    </row>
    <row r="252">
      <c r="N252" s="37"/>
      <c r="S252" s="37"/>
      <c r="T252" s="37"/>
    </row>
    <row r="253">
      <c r="N253" s="37"/>
      <c r="S253" s="37"/>
      <c r="T253" s="37"/>
    </row>
    <row r="254">
      <c r="N254" s="37"/>
      <c r="S254" s="37"/>
      <c r="T254" s="37"/>
    </row>
    <row r="255">
      <c r="N255" s="37"/>
      <c r="S255" s="37"/>
      <c r="T255" s="37"/>
    </row>
    <row r="256">
      <c r="N256" s="37"/>
      <c r="S256" s="37"/>
      <c r="T256" s="37"/>
    </row>
    <row r="257">
      <c r="N257" s="37"/>
      <c r="S257" s="37"/>
      <c r="T257" s="37"/>
    </row>
    <row r="258">
      <c r="N258" s="37"/>
      <c r="S258" s="37"/>
      <c r="T258" s="37"/>
    </row>
    <row r="259">
      <c r="N259" s="37"/>
      <c r="S259" s="37"/>
      <c r="T259" s="37"/>
    </row>
    <row r="260">
      <c r="N260" s="37"/>
      <c r="S260" s="37"/>
      <c r="T260" s="37"/>
    </row>
    <row r="261">
      <c r="N261" s="37"/>
      <c r="S261" s="37"/>
      <c r="T261" s="37"/>
    </row>
    <row r="262">
      <c r="N262" s="37"/>
      <c r="S262" s="37"/>
      <c r="T262" s="37"/>
    </row>
    <row r="263">
      <c r="N263" s="37"/>
      <c r="S263" s="37"/>
      <c r="T263" s="37"/>
    </row>
    <row r="264">
      <c r="N264" s="37"/>
      <c r="S264" s="37"/>
      <c r="T264" s="37"/>
    </row>
    <row r="265">
      <c r="N265" s="37"/>
      <c r="S265" s="37"/>
      <c r="T265" s="37"/>
    </row>
    <row r="266">
      <c r="N266" s="37"/>
      <c r="S266" s="37"/>
      <c r="T266" s="37"/>
    </row>
    <row r="267">
      <c r="N267" s="37"/>
      <c r="S267" s="37"/>
      <c r="T267" s="37"/>
    </row>
    <row r="268">
      <c r="N268" s="37"/>
      <c r="S268" s="37"/>
      <c r="T268" s="37"/>
    </row>
    <row r="269">
      <c r="N269" s="37"/>
      <c r="S269" s="37"/>
      <c r="T269" s="37"/>
    </row>
    <row r="270">
      <c r="N270" s="37"/>
      <c r="S270" s="37"/>
      <c r="T270" s="37"/>
    </row>
    <row r="271">
      <c r="N271" s="37"/>
      <c r="S271" s="37"/>
      <c r="T271" s="37"/>
    </row>
    <row r="272">
      <c r="N272" s="37"/>
      <c r="S272" s="37"/>
      <c r="T272" s="37"/>
    </row>
    <row r="273">
      <c r="N273" s="37"/>
      <c r="S273" s="37"/>
      <c r="T273" s="37"/>
    </row>
    <row r="274">
      <c r="N274" s="37"/>
      <c r="S274" s="37"/>
      <c r="T274" s="37"/>
    </row>
    <row r="275">
      <c r="N275" s="37"/>
      <c r="S275" s="37"/>
      <c r="T275" s="37"/>
    </row>
    <row r="276">
      <c r="N276" s="37"/>
      <c r="S276" s="37"/>
      <c r="T276" s="37"/>
    </row>
    <row r="277">
      <c r="N277" s="37"/>
      <c r="S277" s="37"/>
      <c r="T277" s="37"/>
    </row>
    <row r="278">
      <c r="N278" s="37"/>
      <c r="S278" s="37"/>
      <c r="T278" s="37"/>
    </row>
    <row r="279">
      <c r="N279" s="37"/>
      <c r="S279" s="37"/>
      <c r="T279" s="37"/>
    </row>
    <row r="280">
      <c r="N280" s="37"/>
      <c r="S280" s="37"/>
      <c r="T280" s="37"/>
    </row>
    <row r="281">
      <c r="N281" s="37"/>
      <c r="S281" s="37"/>
      <c r="T281" s="37"/>
    </row>
    <row r="282">
      <c r="N282" s="37"/>
      <c r="S282" s="37"/>
      <c r="T282" s="37"/>
    </row>
    <row r="283">
      <c r="N283" s="37"/>
      <c r="S283" s="37"/>
      <c r="T283" s="37"/>
    </row>
    <row r="284">
      <c r="N284" s="37"/>
      <c r="S284" s="37"/>
      <c r="T284" s="37"/>
    </row>
    <row r="285">
      <c r="N285" s="37"/>
      <c r="S285" s="37"/>
      <c r="T285" s="37"/>
    </row>
    <row r="286">
      <c r="N286" s="37"/>
      <c r="S286" s="37"/>
      <c r="T286" s="37"/>
    </row>
    <row r="287">
      <c r="N287" s="37"/>
      <c r="S287" s="37"/>
      <c r="T287" s="37"/>
    </row>
    <row r="288">
      <c r="N288" s="37"/>
      <c r="S288" s="37"/>
      <c r="T288" s="37"/>
    </row>
    <row r="289">
      <c r="N289" s="37"/>
      <c r="S289" s="37"/>
      <c r="T289" s="37"/>
    </row>
    <row r="290">
      <c r="N290" s="37"/>
      <c r="S290" s="37"/>
      <c r="T290" s="37"/>
    </row>
    <row r="291">
      <c r="N291" s="37"/>
      <c r="S291" s="37"/>
      <c r="T291" s="37"/>
    </row>
    <row r="292">
      <c r="N292" s="37"/>
      <c r="S292" s="37"/>
      <c r="T292" s="37"/>
    </row>
    <row r="293">
      <c r="N293" s="37"/>
      <c r="S293" s="37"/>
      <c r="T293" s="37"/>
    </row>
    <row r="294">
      <c r="N294" s="37"/>
      <c r="S294" s="37"/>
      <c r="T294" s="37"/>
    </row>
    <row r="295">
      <c r="N295" s="37"/>
      <c r="S295" s="37"/>
      <c r="T295" s="37"/>
    </row>
    <row r="296">
      <c r="N296" s="37"/>
      <c r="S296" s="37"/>
      <c r="T296" s="37"/>
    </row>
    <row r="297">
      <c r="N297" s="37"/>
      <c r="S297" s="37"/>
      <c r="T297" s="37"/>
    </row>
    <row r="298">
      <c r="N298" s="37"/>
      <c r="S298" s="37"/>
      <c r="T298" s="37"/>
    </row>
    <row r="299">
      <c r="N299" s="37"/>
      <c r="S299" s="37"/>
      <c r="T299" s="37"/>
    </row>
    <row r="300">
      <c r="N300" s="37"/>
      <c r="S300" s="37"/>
      <c r="T300" s="37"/>
    </row>
    <row r="301">
      <c r="N301" s="37"/>
      <c r="S301" s="37"/>
      <c r="T301" s="37"/>
    </row>
    <row r="302">
      <c r="N302" s="37"/>
      <c r="S302" s="37"/>
      <c r="T302" s="37"/>
    </row>
    <row r="303">
      <c r="N303" s="37"/>
      <c r="S303" s="37"/>
      <c r="T303" s="37"/>
    </row>
    <row r="304">
      <c r="N304" s="37"/>
      <c r="S304" s="37"/>
      <c r="T304" s="37"/>
    </row>
    <row r="305">
      <c r="N305" s="37"/>
      <c r="S305" s="37"/>
      <c r="T305" s="37"/>
    </row>
    <row r="306">
      <c r="N306" s="37"/>
      <c r="S306" s="37"/>
      <c r="T306" s="37"/>
    </row>
    <row r="307">
      <c r="N307" s="37"/>
      <c r="S307" s="37"/>
      <c r="T307" s="37"/>
    </row>
    <row r="308">
      <c r="N308" s="37"/>
      <c r="S308" s="37"/>
      <c r="T308" s="37"/>
    </row>
    <row r="309">
      <c r="N309" s="37"/>
      <c r="S309" s="37"/>
      <c r="T309" s="37"/>
    </row>
    <row r="310">
      <c r="N310" s="37"/>
      <c r="S310" s="37"/>
      <c r="T310" s="37"/>
    </row>
    <row r="311">
      <c r="N311" s="37"/>
      <c r="S311" s="37"/>
      <c r="T311" s="37"/>
    </row>
    <row r="312">
      <c r="N312" s="37"/>
      <c r="S312" s="37"/>
      <c r="T312" s="37"/>
    </row>
    <row r="313">
      <c r="N313" s="37"/>
      <c r="S313" s="37"/>
      <c r="T313" s="37"/>
    </row>
    <row r="314">
      <c r="N314" s="37"/>
      <c r="S314" s="37"/>
      <c r="T314" s="37"/>
    </row>
    <row r="315">
      <c r="N315" s="37"/>
      <c r="S315" s="37"/>
      <c r="T315" s="37"/>
    </row>
    <row r="316">
      <c r="N316" s="37"/>
      <c r="S316" s="37"/>
      <c r="T316" s="37"/>
    </row>
    <row r="317">
      <c r="N317" s="37"/>
      <c r="S317" s="37"/>
      <c r="T317" s="37"/>
    </row>
    <row r="318">
      <c r="N318" s="37"/>
      <c r="S318" s="37"/>
      <c r="T318" s="37"/>
    </row>
    <row r="319">
      <c r="N319" s="37"/>
      <c r="S319" s="37"/>
      <c r="T319" s="37"/>
    </row>
    <row r="320">
      <c r="N320" s="37"/>
      <c r="S320" s="37"/>
      <c r="T320" s="37"/>
    </row>
    <row r="321">
      <c r="N321" s="37"/>
      <c r="S321" s="37"/>
      <c r="T321" s="37"/>
    </row>
    <row r="322">
      <c r="N322" s="37"/>
      <c r="S322" s="37"/>
      <c r="T322" s="37"/>
    </row>
    <row r="323">
      <c r="N323" s="37"/>
      <c r="S323" s="37"/>
      <c r="T323" s="37"/>
    </row>
    <row r="324">
      <c r="N324" s="37"/>
      <c r="S324" s="37"/>
      <c r="T324" s="37"/>
    </row>
    <row r="325">
      <c r="N325" s="37"/>
      <c r="S325" s="37"/>
      <c r="T325" s="37"/>
    </row>
    <row r="326">
      <c r="N326" s="37"/>
      <c r="S326" s="37"/>
      <c r="T326" s="37"/>
    </row>
    <row r="327">
      <c r="N327" s="37"/>
      <c r="S327" s="37"/>
      <c r="T327" s="37"/>
    </row>
    <row r="328">
      <c r="N328" s="37"/>
      <c r="S328" s="37"/>
      <c r="T328" s="37"/>
    </row>
    <row r="329">
      <c r="N329" s="37"/>
      <c r="S329" s="37"/>
      <c r="T329" s="37"/>
    </row>
    <row r="330">
      <c r="N330" s="37"/>
      <c r="S330" s="37"/>
      <c r="T330" s="37"/>
    </row>
    <row r="331">
      <c r="N331" s="37"/>
      <c r="S331" s="37"/>
      <c r="T331" s="37"/>
    </row>
    <row r="332">
      <c r="N332" s="37"/>
      <c r="S332" s="37"/>
      <c r="T332" s="37"/>
    </row>
    <row r="333">
      <c r="N333" s="37"/>
      <c r="S333" s="37"/>
      <c r="T333" s="37"/>
    </row>
    <row r="334">
      <c r="N334" s="37"/>
      <c r="S334" s="37"/>
      <c r="T334" s="37"/>
    </row>
    <row r="335">
      <c r="N335" s="37"/>
      <c r="S335" s="37"/>
      <c r="T335" s="37"/>
    </row>
    <row r="336">
      <c r="N336" s="37"/>
      <c r="S336" s="37"/>
      <c r="T336" s="37"/>
    </row>
    <row r="337">
      <c r="N337" s="37"/>
      <c r="S337" s="37"/>
      <c r="T337" s="37"/>
    </row>
    <row r="338">
      <c r="N338" s="37"/>
      <c r="S338" s="37"/>
      <c r="T338" s="37"/>
    </row>
    <row r="339">
      <c r="N339" s="37"/>
      <c r="S339" s="37"/>
      <c r="T339" s="37"/>
    </row>
    <row r="340">
      <c r="N340" s="37"/>
      <c r="S340" s="37"/>
      <c r="T340" s="37"/>
    </row>
    <row r="341">
      <c r="N341" s="37"/>
      <c r="S341" s="37"/>
      <c r="T341" s="37"/>
    </row>
    <row r="342">
      <c r="N342" s="37"/>
      <c r="S342" s="37"/>
      <c r="T342" s="37"/>
    </row>
    <row r="343">
      <c r="N343" s="37"/>
      <c r="S343" s="37"/>
      <c r="T343" s="37"/>
    </row>
    <row r="344">
      <c r="N344" s="37"/>
      <c r="S344" s="37"/>
      <c r="T344" s="37"/>
    </row>
    <row r="345">
      <c r="N345" s="37"/>
      <c r="S345" s="37"/>
      <c r="T345" s="37"/>
    </row>
    <row r="346">
      <c r="N346" s="37"/>
      <c r="S346" s="37"/>
      <c r="T346" s="37"/>
    </row>
    <row r="347">
      <c r="N347" s="37"/>
      <c r="S347" s="37"/>
      <c r="T347" s="37"/>
    </row>
    <row r="348">
      <c r="N348" s="37"/>
      <c r="S348" s="37"/>
      <c r="T348" s="37"/>
    </row>
    <row r="349">
      <c r="N349" s="37"/>
      <c r="S349" s="37"/>
      <c r="T349" s="37"/>
    </row>
    <row r="350">
      <c r="N350" s="37"/>
      <c r="S350" s="37"/>
      <c r="T350" s="37"/>
    </row>
    <row r="351">
      <c r="N351" s="37"/>
      <c r="S351" s="37"/>
      <c r="T351" s="37"/>
    </row>
    <row r="352">
      <c r="N352" s="37"/>
      <c r="S352" s="37"/>
      <c r="T352" s="37"/>
    </row>
    <row r="353">
      <c r="N353" s="37"/>
      <c r="S353" s="37"/>
      <c r="T353" s="37"/>
    </row>
    <row r="354">
      <c r="N354" s="37"/>
      <c r="S354" s="37"/>
      <c r="T354" s="37"/>
    </row>
    <row r="355">
      <c r="N355" s="37"/>
      <c r="S355" s="37"/>
      <c r="T355" s="37"/>
    </row>
    <row r="356">
      <c r="N356" s="37"/>
      <c r="S356" s="37"/>
      <c r="T356" s="37"/>
    </row>
    <row r="357">
      <c r="N357" s="37"/>
      <c r="S357" s="37"/>
      <c r="T357" s="37"/>
    </row>
    <row r="358">
      <c r="N358" s="37"/>
      <c r="S358" s="37"/>
      <c r="T358" s="37"/>
    </row>
    <row r="359">
      <c r="N359" s="37"/>
      <c r="S359" s="37"/>
      <c r="T359" s="37"/>
    </row>
    <row r="360">
      <c r="N360" s="37"/>
      <c r="S360" s="37"/>
      <c r="T360" s="37"/>
    </row>
    <row r="361">
      <c r="N361" s="37"/>
      <c r="S361" s="37"/>
      <c r="T361" s="37"/>
    </row>
    <row r="362">
      <c r="N362" s="37"/>
      <c r="S362" s="37"/>
      <c r="T362" s="37"/>
    </row>
    <row r="363">
      <c r="N363" s="37"/>
      <c r="S363" s="37"/>
      <c r="T363" s="37"/>
    </row>
    <row r="364">
      <c r="N364" s="37"/>
      <c r="S364" s="37"/>
      <c r="T364" s="37"/>
    </row>
    <row r="365">
      <c r="N365" s="37"/>
      <c r="S365" s="37"/>
      <c r="T365" s="37"/>
    </row>
    <row r="366">
      <c r="N366" s="37"/>
      <c r="S366" s="37"/>
      <c r="T366" s="37"/>
    </row>
    <row r="367">
      <c r="N367" s="37"/>
      <c r="S367" s="37"/>
      <c r="T367" s="37"/>
    </row>
    <row r="368">
      <c r="N368" s="37"/>
      <c r="S368" s="37"/>
      <c r="T368" s="37"/>
    </row>
    <row r="369">
      <c r="N369" s="37"/>
      <c r="S369" s="37"/>
      <c r="T369" s="37"/>
    </row>
    <row r="370">
      <c r="N370" s="37"/>
      <c r="S370" s="37"/>
      <c r="T370" s="37"/>
    </row>
    <row r="371">
      <c r="N371" s="37"/>
      <c r="S371" s="37"/>
      <c r="T371" s="37"/>
    </row>
    <row r="372">
      <c r="N372" s="37"/>
      <c r="S372" s="37"/>
      <c r="T372" s="37"/>
    </row>
    <row r="373">
      <c r="N373" s="37"/>
      <c r="S373" s="37"/>
      <c r="T373" s="37"/>
    </row>
    <row r="374">
      <c r="N374" s="37"/>
      <c r="S374" s="37"/>
      <c r="T374" s="37"/>
    </row>
    <row r="375">
      <c r="N375" s="37"/>
      <c r="S375" s="37"/>
      <c r="T375" s="37"/>
    </row>
    <row r="376">
      <c r="N376" s="37"/>
      <c r="S376" s="37"/>
      <c r="T376" s="37"/>
    </row>
    <row r="377">
      <c r="N377" s="37"/>
      <c r="S377" s="37"/>
      <c r="T377" s="37"/>
    </row>
    <row r="378">
      <c r="N378" s="37"/>
      <c r="S378" s="37"/>
      <c r="T378" s="37"/>
    </row>
    <row r="379">
      <c r="N379" s="37"/>
      <c r="S379" s="37"/>
      <c r="T379" s="37"/>
    </row>
    <row r="380">
      <c r="N380" s="37"/>
      <c r="S380" s="37"/>
      <c r="T380" s="37"/>
    </row>
    <row r="381">
      <c r="N381" s="37"/>
      <c r="S381" s="37"/>
      <c r="T381" s="37"/>
    </row>
    <row r="382">
      <c r="N382" s="37"/>
      <c r="S382" s="37"/>
      <c r="T382" s="37"/>
    </row>
    <row r="383">
      <c r="N383" s="37"/>
      <c r="S383" s="37"/>
      <c r="T383" s="37"/>
    </row>
    <row r="384">
      <c r="N384" s="37"/>
      <c r="S384" s="37"/>
      <c r="T384" s="37"/>
    </row>
    <row r="385">
      <c r="N385" s="37"/>
      <c r="S385" s="37"/>
      <c r="T385" s="37"/>
    </row>
    <row r="386">
      <c r="N386" s="37"/>
      <c r="S386" s="37"/>
      <c r="T386" s="37"/>
    </row>
    <row r="387">
      <c r="N387" s="37"/>
      <c r="S387" s="37"/>
      <c r="T387" s="37"/>
    </row>
    <row r="388">
      <c r="N388" s="37"/>
      <c r="S388" s="37"/>
      <c r="T388" s="37"/>
    </row>
    <row r="389">
      <c r="N389" s="37"/>
      <c r="S389" s="37"/>
      <c r="T389" s="37"/>
    </row>
    <row r="390">
      <c r="N390" s="37"/>
      <c r="S390" s="37"/>
      <c r="T390" s="37"/>
    </row>
    <row r="391">
      <c r="N391" s="37"/>
      <c r="S391" s="37"/>
      <c r="T391" s="37"/>
    </row>
    <row r="392">
      <c r="N392" s="37"/>
      <c r="S392" s="37"/>
      <c r="T392" s="37"/>
    </row>
    <row r="393">
      <c r="N393" s="37"/>
      <c r="S393" s="37"/>
      <c r="T393" s="37"/>
    </row>
    <row r="394">
      <c r="N394" s="37"/>
      <c r="S394" s="37"/>
      <c r="T394" s="37"/>
    </row>
    <row r="395">
      <c r="N395" s="37"/>
      <c r="S395" s="37"/>
      <c r="T395" s="37"/>
    </row>
    <row r="396">
      <c r="N396" s="37"/>
      <c r="S396" s="37"/>
      <c r="T396" s="37"/>
    </row>
    <row r="397">
      <c r="N397" s="37"/>
      <c r="S397" s="37"/>
      <c r="T397" s="37"/>
    </row>
    <row r="398">
      <c r="N398" s="37"/>
      <c r="S398" s="37"/>
      <c r="T398" s="37"/>
    </row>
    <row r="399">
      <c r="N399" s="37"/>
      <c r="S399" s="37"/>
      <c r="T399" s="37"/>
    </row>
    <row r="400">
      <c r="N400" s="37"/>
      <c r="S400" s="37"/>
      <c r="T400" s="37"/>
    </row>
    <row r="401">
      <c r="N401" s="37"/>
      <c r="S401" s="37"/>
      <c r="T401" s="37"/>
    </row>
    <row r="402">
      <c r="N402" s="37"/>
      <c r="S402" s="37"/>
      <c r="T402" s="37"/>
    </row>
    <row r="403">
      <c r="N403" s="37"/>
      <c r="S403" s="37"/>
      <c r="T403" s="37"/>
    </row>
    <row r="404">
      <c r="N404" s="37"/>
      <c r="S404" s="37"/>
      <c r="T404" s="37"/>
    </row>
    <row r="405">
      <c r="N405" s="37"/>
      <c r="S405" s="37"/>
      <c r="T405" s="37"/>
    </row>
    <row r="406">
      <c r="N406" s="37"/>
      <c r="S406" s="37"/>
      <c r="T406" s="37"/>
    </row>
    <row r="407">
      <c r="N407" s="37"/>
      <c r="S407" s="37"/>
      <c r="T407" s="37"/>
    </row>
    <row r="408">
      <c r="N408" s="37"/>
      <c r="S408" s="37"/>
      <c r="T408" s="37"/>
    </row>
    <row r="409">
      <c r="N409" s="37"/>
      <c r="S409" s="37"/>
      <c r="T409" s="37"/>
    </row>
    <row r="410">
      <c r="N410" s="37"/>
      <c r="S410" s="37"/>
      <c r="T410" s="37"/>
    </row>
    <row r="411">
      <c r="N411" s="37"/>
      <c r="S411" s="37"/>
      <c r="T411" s="37"/>
    </row>
    <row r="412">
      <c r="N412" s="37"/>
      <c r="S412" s="37"/>
      <c r="T412" s="37"/>
    </row>
    <row r="413">
      <c r="N413" s="37"/>
      <c r="S413" s="37"/>
      <c r="T413" s="37"/>
    </row>
    <row r="414">
      <c r="N414" s="37"/>
      <c r="S414" s="37"/>
      <c r="T414" s="37"/>
    </row>
    <row r="415">
      <c r="N415" s="37"/>
      <c r="S415" s="37"/>
      <c r="T415" s="37"/>
    </row>
    <row r="416">
      <c r="N416" s="37"/>
      <c r="S416" s="37"/>
      <c r="T416" s="37"/>
    </row>
    <row r="417">
      <c r="N417" s="37"/>
      <c r="S417" s="37"/>
      <c r="T417" s="37"/>
    </row>
    <row r="418">
      <c r="N418" s="37"/>
      <c r="S418" s="37"/>
      <c r="T418" s="37"/>
    </row>
    <row r="419">
      <c r="N419" s="37"/>
      <c r="S419" s="37"/>
      <c r="T419" s="37"/>
    </row>
    <row r="420">
      <c r="N420" s="37"/>
      <c r="S420" s="37"/>
      <c r="T420" s="37"/>
    </row>
    <row r="421">
      <c r="N421" s="37"/>
      <c r="S421" s="37"/>
      <c r="T421" s="37"/>
    </row>
    <row r="422">
      <c r="N422" s="37"/>
      <c r="S422" s="37"/>
      <c r="T422" s="37"/>
    </row>
    <row r="423">
      <c r="N423" s="37"/>
      <c r="S423" s="37"/>
      <c r="T423" s="37"/>
    </row>
    <row r="424">
      <c r="N424" s="37"/>
      <c r="S424" s="37"/>
      <c r="T424" s="37"/>
    </row>
    <row r="425">
      <c r="N425" s="37"/>
      <c r="S425" s="37"/>
      <c r="T425" s="37"/>
    </row>
    <row r="426">
      <c r="N426" s="37"/>
      <c r="S426" s="37"/>
      <c r="T426" s="37"/>
    </row>
    <row r="427">
      <c r="N427" s="37"/>
      <c r="S427" s="37"/>
      <c r="T427" s="37"/>
    </row>
    <row r="428">
      <c r="N428" s="37"/>
      <c r="S428" s="37"/>
      <c r="T428" s="37"/>
    </row>
    <row r="429">
      <c r="N429" s="37"/>
      <c r="S429" s="37"/>
      <c r="T429" s="37"/>
    </row>
    <row r="430">
      <c r="N430" s="37"/>
      <c r="S430" s="37"/>
      <c r="T430" s="37"/>
    </row>
    <row r="431">
      <c r="N431" s="37"/>
      <c r="S431" s="37"/>
      <c r="T431" s="37"/>
    </row>
    <row r="432">
      <c r="N432" s="37"/>
      <c r="S432" s="37"/>
      <c r="T432" s="37"/>
    </row>
    <row r="433">
      <c r="N433" s="37"/>
      <c r="S433" s="37"/>
      <c r="T433" s="37"/>
    </row>
    <row r="434">
      <c r="N434" s="37"/>
      <c r="S434" s="37"/>
      <c r="T434" s="37"/>
    </row>
    <row r="435">
      <c r="N435" s="37"/>
      <c r="S435" s="37"/>
      <c r="T435" s="37"/>
    </row>
    <row r="436">
      <c r="N436" s="37"/>
      <c r="S436" s="37"/>
      <c r="T436" s="37"/>
    </row>
    <row r="437">
      <c r="N437" s="37"/>
      <c r="S437" s="37"/>
      <c r="T437" s="37"/>
    </row>
    <row r="438">
      <c r="N438" s="37"/>
      <c r="S438" s="37"/>
      <c r="T438" s="37"/>
    </row>
    <row r="439">
      <c r="N439" s="37"/>
      <c r="S439" s="37"/>
      <c r="T439" s="37"/>
    </row>
    <row r="440">
      <c r="N440" s="37"/>
      <c r="S440" s="37"/>
      <c r="T440" s="37"/>
    </row>
    <row r="441">
      <c r="N441" s="37"/>
      <c r="S441" s="37"/>
      <c r="T441" s="37"/>
    </row>
    <row r="442">
      <c r="N442" s="37"/>
      <c r="S442" s="37"/>
      <c r="T442" s="37"/>
    </row>
    <row r="443">
      <c r="N443" s="37"/>
      <c r="S443" s="37"/>
      <c r="T443" s="37"/>
    </row>
    <row r="444">
      <c r="N444" s="37"/>
      <c r="S444" s="37"/>
      <c r="T444" s="37"/>
    </row>
    <row r="445">
      <c r="N445" s="37"/>
      <c r="S445" s="37"/>
      <c r="T445" s="37"/>
    </row>
    <row r="446">
      <c r="N446" s="37"/>
      <c r="S446" s="37"/>
      <c r="T446" s="37"/>
    </row>
    <row r="447">
      <c r="N447" s="37"/>
      <c r="S447" s="37"/>
      <c r="T447" s="37"/>
    </row>
    <row r="448">
      <c r="N448" s="37"/>
      <c r="S448" s="37"/>
      <c r="T448" s="37"/>
    </row>
    <row r="449">
      <c r="N449" s="37"/>
      <c r="S449" s="37"/>
      <c r="T449" s="37"/>
    </row>
    <row r="450">
      <c r="N450" s="37"/>
      <c r="S450" s="37"/>
      <c r="T450" s="37"/>
    </row>
    <row r="451">
      <c r="N451" s="37"/>
      <c r="S451" s="37"/>
      <c r="T451" s="37"/>
    </row>
    <row r="452">
      <c r="N452" s="37"/>
      <c r="S452" s="37"/>
      <c r="T452" s="37"/>
    </row>
    <row r="453">
      <c r="N453" s="37"/>
      <c r="S453" s="37"/>
      <c r="T453" s="37"/>
    </row>
    <row r="454">
      <c r="N454" s="37"/>
      <c r="S454" s="37"/>
      <c r="T454" s="37"/>
    </row>
    <row r="455">
      <c r="N455" s="37"/>
      <c r="S455" s="37"/>
      <c r="T455" s="37"/>
    </row>
    <row r="456">
      <c r="N456" s="37"/>
      <c r="S456" s="37"/>
      <c r="T456" s="37"/>
    </row>
    <row r="457">
      <c r="N457" s="37"/>
      <c r="S457" s="37"/>
      <c r="T457" s="37"/>
    </row>
    <row r="458">
      <c r="N458" s="37"/>
      <c r="S458" s="37"/>
      <c r="T458" s="37"/>
    </row>
    <row r="459">
      <c r="N459" s="37"/>
      <c r="S459" s="37"/>
      <c r="T459" s="37"/>
    </row>
    <row r="460">
      <c r="N460" s="37"/>
      <c r="S460" s="37"/>
      <c r="T460" s="37"/>
    </row>
    <row r="461">
      <c r="N461" s="37"/>
      <c r="S461" s="37"/>
      <c r="T461" s="37"/>
    </row>
    <row r="462">
      <c r="N462" s="37"/>
      <c r="S462" s="37"/>
      <c r="T462" s="37"/>
    </row>
    <row r="463">
      <c r="N463" s="37"/>
      <c r="S463" s="37"/>
      <c r="T463" s="37"/>
    </row>
    <row r="464">
      <c r="N464" s="37"/>
      <c r="S464" s="37"/>
      <c r="T464" s="37"/>
    </row>
    <row r="465">
      <c r="N465" s="37"/>
      <c r="S465" s="37"/>
      <c r="T465" s="37"/>
    </row>
    <row r="466">
      <c r="N466" s="37"/>
      <c r="S466" s="37"/>
      <c r="T466" s="37"/>
    </row>
    <row r="467">
      <c r="N467" s="37"/>
      <c r="S467" s="37"/>
      <c r="T467" s="37"/>
    </row>
    <row r="468">
      <c r="N468" s="37"/>
      <c r="S468" s="37"/>
      <c r="T468" s="37"/>
    </row>
    <row r="469">
      <c r="N469" s="37"/>
      <c r="S469" s="37"/>
      <c r="T469" s="37"/>
    </row>
    <row r="470">
      <c r="N470" s="37"/>
      <c r="S470" s="37"/>
      <c r="T470" s="37"/>
    </row>
    <row r="471">
      <c r="N471" s="37"/>
      <c r="S471" s="37"/>
      <c r="T471" s="37"/>
    </row>
    <row r="472">
      <c r="N472" s="37"/>
      <c r="S472" s="37"/>
      <c r="T472" s="37"/>
    </row>
    <row r="473">
      <c r="N473" s="37"/>
      <c r="S473" s="37"/>
      <c r="T473" s="37"/>
    </row>
    <row r="474">
      <c r="N474" s="37"/>
      <c r="S474" s="37"/>
      <c r="T474" s="37"/>
    </row>
    <row r="475">
      <c r="N475" s="37"/>
      <c r="S475" s="37"/>
      <c r="T475" s="37"/>
    </row>
    <row r="476">
      <c r="N476" s="37"/>
      <c r="S476" s="37"/>
      <c r="T476" s="37"/>
    </row>
    <row r="477">
      <c r="N477" s="37"/>
      <c r="S477" s="37"/>
      <c r="T477" s="37"/>
    </row>
    <row r="478">
      <c r="N478" s="37"/>
      <c r="S478" s="37"/>
      <c r="T478" s="37"/>
    </row>
    <row r="479">
      <c r="N479" s="37"/>
      <c r="S479" s="37"/>
      <c r="T479" s="37"/>
    </row>
    <row r="480">
      <c r="N480" s="37"/>
      <c r="S480" s="37"/>
      <c r="T480" s="37"/>
    </row>
    <row r="481">
      <c r="N481" s="37"/>
      <c r="S481" s="37"/>
      <c r="T481" s="37"/>
    </row>
    <row r="482">
      <c r="N482" s="37"/>
      <c r="S482" s="37"/>
      <c r="T482" s="37"/>
    </row>
    <row r="483">
      <c r="N483" s="37"/>
      <c r="S483" s="37"/>
      <c r="T483" s="37"/>
    </row>
    <row r="484">
      <c r="N484" s="37"/>
      <c r="S484" s="37"/>
      <c r="T484" s="37"/>
    </row>
    <row r="485">
      <c r="N485" s="37"/>
      <c r="S485" s="37"/>
      <c r="T485" s="37"/>
    </row>
    <row r="486">
      <c r="N486" s="37"/>
      <c r="S486" s="37"/>
      <c r="T486" s="37"/>
    </row>
    <row r="487">
      <c r="N487" s="37"/>
      <c r="S487" s="37"/>
      <c r="T487" s="37"/>
    </row>
    <row r="488">
      <c r="N488" s="37"/>
      <c r="S488" s="37"/>
      <c r="T488" s="37"/>
    </row>
    <row r="489">
      <c r="N489" s="37"/>
      <c r="S489" s="37"/>
      <c r="T489" s="37"/>
    </row>
    <row r="490">
      <c r="N490" s="37"/>
      <c r="S490" s="37"/>
      <c r="T490" s="37"/>
    </row>
    <row r="491">
      <c r="N491" s="37"/>
      <c r="S491" s="37"/>
      <c r="T491" s="37"/>
    </row>
    <row r="492">
      <c r="N492" s="37"/>
      <c r="S492" s="37"/>
      <c r="T492" s="37"/>
    </row>
    <row r="493">
      <c r="N493" s="37"/>
      <c r="S493" s="37"/>
      <c r="T493" s="37"/>
    </row>
    <row r="494">
      <c r="N494" s="37"/>
      <c r="S494" s="37"/>
      <c r="T494" s="37"/>
    </row>
    <row r="495">
      <c r="N495" s="37"/>
      <c r="S495" s="37"/>
      <c r="T495" s="37"/>
    </row>
    <row r="496">
      <c r="N496" s="37"/>
      <c r="S496" s="37"/>
      <c r="T496" s="37"/>
    </row>
    <row r="497">
      <c r="N497" s="37"/>
      <c r="S497" s="37"/>
      <c r="T497" s="37"/>
    </row>
    <row r="498">
      <c r="N498" s="37"/>
      <c r="S498" s="37"/>
      <c r="T498" s="37"/>
    </row>
    <row r="499">
      <c r="N499" s="37"/>
      <c r="S499" s="37"/>
      <c r="T499" s="37"/>
    </row>
    <row r="500">
      <c r="N500" s="37"/>
      <c r="S500" s="37"/>
      <c r="T500" s="37"/>
    </row>
    <row r="501">
      <c r="N501" s="37"/>
      <c r="S501" s="37"/>
      <c r="T501" s="37"/>
    </row>
    <row r="502">
      <c r="N502" s="37"/>
      <c r="S502" s="37"/>
      <c r="T502" s="37"/>
    </row>
    <row r="503">
      <c r="N503" s="37"/>
      <c r="S503" s="37"/>
      <c r="T503" s="37"/>
    </row>
    <row r="504">
      <c r="N504" s="37"/>
      <c r="S504" s="37"/>
      <c r="T504" s="37"/>
    </row>
    <row r="505">
      <c r="N505" s="37"/>
      <c r="S505" s="37"/>
      <c r="T505" s="37"/>
    </row>
    <row r="506">
      <c r="N506" s="37"/>
      <c r="S506" s="37"/>
      <c r="T506" s="37"/>
    </row>
    <row r="507">
      <c r="N507" s="37"/>
      <c r="S507" s="37"/>
      <c r="T507" s="37"/>
    </row>
    <row r="508">
      <c r="N508" s="37"/>
      <c r="S508" s="37"/>
      <c r="T508" s="37"/>
    </row>
    <row r="509">
      <c r="N509" s="37"/>
      <c r="S509" s="37"/>
      <c r="T509" s="37"/>
    </row>
    <row r="510">
      <c r="N510" s="37"/>
      <c r="S510" s="37"/>
      <c r="T510" s="37"/>
    </row>
    <row r="511">
      <c r="N511" s="37"/>
      <c r="S511" s="37"/>
      <c r="T511" s="37"/>
    </row>
    <row r="512">
      <c r="N512" s="37"/>
      <c r="S512" s="37"/>
      <c r="T512" s="37"/>
    </row>
    <row r="513">
      <c r="N513" s="37"/>
      <c r="S513" s="37"/>
      <c r="T513" s="37"/>
    </row>
    <row r="514">
      <c r="N514" s="37"/>
      <c r="S514" s="37"/>
      <c r="T514" s="37"/>
    </row>
    <row r="515">
      <c r="N515" s="37"/>
      <c r="S515" s="37"/>
      <c r="T515" s="37"/>
    </row>
    <row r="516">
      <c r="N516" s="37"/>
      <c r="S516" s="37"/>
      <c r="T516" s="37"/>
    </row>
    <row r="517">
      <c r="N517" s="37"/>
      <c r="S517" s="37"/>
      <c r="T517" s="37"/>
    </row>
    <row r="518">
      <c r="N518" s="37"/>
      <c r="S518" s="37"/>
      <c r="T518" s="37"/>
    </row>
    <row r="519">
      <c r="N519" s="37"/>
      <c r="S519" s="37"/>
      <c r="T519" s="37"/>
    </row>
    <row r="520">
      <c r="N520" s="37"/>
      <c r="S520" s="37"/>
      <c r="T520" s="37"/>
    </row>
    <row r="521">
      <c r="N521" s="37"/>
      <c r="S521" s="37"/>
      <c r="T521" s="37"/>
    </row>
    <row r="522">
      <c r="N522" s="37"/>
      <c r="S522" s="37"/>
      <c r="T522" s="37"/>
    </row>
    <row r="523">
      <c r="N523" s="37"/>
      <c r="S523" s="37"/>
      <c r="T523" s="37"/>
    </row>
    <row r="524">
      <c r="N524" s="37"/>
      <c r="S524" s="37"/>
      <c r="T524" s="37"/>
    </row>
    <row r="525">
      <c r="N525" s="37"/>
      <c r="S525" s="37"/>
      <c r="T525" s="37"/>
    </row>
    <row r="526">
      <c r="N526" s="37"/>
      <c r="S526" s="37"/>
      <c r="T526" s="37"/>
    </row>
    <row r="527">
      <c r="N527" s="37"/>
      <c r="S527" s="37"/>
      <c r="T527" s="37"/>
    </row>
    <row r="528">
      <c r="N528" s="37"/>
      <c r="S528" s="37"/>
      <c r="T528" s="37"/>
    </row>
    <row r="529">
      <c r="N529" s="37"/>
      <c r="S529" s="37"/>
      <c r="T529" s="37"/>
    </row>
    <row r="530">
      <c r="N530" s="37"/>
      <c r="S530" s="37"/>
      <c r="T530" s="37"/>
    </row>
    <row r="531">
      <c r="N531" s="37"/>
      <c r="S531" s="37"/>
      <c r="T531" s="37"/>
    </row>
    <row r="532">
      <c r="N532" s="37"/>
      <c r="S532" s="37"/>
      <c r="T532" s="37"/>
    </row>
    <row r="533">
      <c r="N533" s="37"/>
      <c r="S533" s="37"/>
      <c r="T533" s="37"/>
    </row>
    <row r="534">
      <c r="N534" s="37"/>
      <c r="S534" s="37"/>
      <c r="T534" s="37"/>
    </row>
    <row r="535">
      <c r="N535" s="37"/>
      <c r="S535" s="37"/>
      <c r="T535" s="37"/>
    </row>
    <row r="536">
      <c r="N536" s="37"/>
      <c r="S536" s="37"/>
      <c r="T536" s="37"/>
    </row>
    <row r="537">
      <c r="N537" s="37"/>
      <c r="S537" s="37"/>
      <c r="T537" s="37"/>
    </row>
    <row r="538">
      <c r="N538" s="37"/>
      <c r="S538" s="37"/>
      <c r="T538" s="37"/>
    </row>
    <row r="539">
      <c r="N539" s="37"/>
      <c r="S539" s="37"/>
      <c r="T539" s="37"/>
    </row>
    <row r="540">
      <c r="N540" s="37"/>
      <c r="S540" s="37"/>
      <c r="T540" s="37"/>
    </row>
    <row r="541">
      <c r="N541" s="37"/>
      <c r="S541" s="37"/>
      <c r="T541" s="37"/>
    </row>
    <row r="542">
      <c r="N542" s="37"/>
      <c r="S542" s="37"/>
      <c r="T542" s="37"/>
    </row>
    <row r="543">
      <c r="N543" s="37"/>
      <c r="S543" s="37"/>
      <c r="T543" s="37"/>
    </row>
    <row r="544">
      <c r="N544" s="37"/>
      <c r="S544" s="37"/>
      <c r="T544" s="37"/>
    </row>
    <row r="545">
      <c r="N545" s="37"/>
      <c r="S545" s="37"/>
      <c r="T545" s="37"/>
    </row>
    <row r="546">
      <c r="N546" s="37"/>
      <c r="S546" s="37"/>
      <c r="T546" s="37"/>
    </row>
    <row r="547">
      <c r="N547" s="37"/>
      <c r="S547" s="37"/>
      <c r="T547" s="37"/>
    </row>
    <row r="548">
      <c r="N548" s="37"/>
      <c r="S548" s="37"/>
      <c r="T548" s="37"/>
    </row>
    <row r="549">
      <c r="N549" s="37"/>
      <c r="S549" s="37"/>
      <c r="T549" s="37"/>
    </row>
    <row r="550">
      <c r="N550" s="37"/>
      <c r="S550" s="37"/>
      <c r="T550" s="37"/>
    </row>
    <row r="551">
      <c r="N551" s="37"/>
      <c r="S551" s="37"/>
      <c r="T551" s="37"/>
    </row>
    <row r="552">
      <c r="N552" s="37"/>
      <c r="S552" s="37"/>
      <c r="T552" s="37"/>
    </row>
    <row r="553">
      <c r="N553" s="37"/>
      <c r="S553" s="37"/>
      <c r="T553" s="37"/>
    </row>
    <row r="554">
      <c r="N554" s="37"/>
      <c r="S554" s="37"/>
      <c r="T554" s="37"/>
    </row>
    <row r="555">
      <c r="N555" s="37"/>
      <c r="S555" s="37"/>
      <c r="T555" s="37"/>
    </row>
    <row r="556">
      <c r="N556" s="37"/>
      <c r="S556" s="37"/>
      <c r="T556" s="37"/>
    </row>
    <row r="557">
      <c r="N557" s="37"/>
      <c r="S557" s="37"/>
      <c r="T557" s="37"/>
    </row>
    <row r="558">
      <c r="N558" s="37"/>
      <c r="S558" s="37"/>
      <c r="T558" s="37"/>
    </row>
    <row r="559">
      <c r="N559" s="37"/>
      <c r="S559" s="37"/>
      <c r="T559" s="37"/>
    </row>
    <row r="560">
      <c r="N560" s="37"/>
      <c r="S560" s="37"/>
      <c r="T560" s="37"/>
    </row>
    <row r="561">
      <c r="N561" s="37"/>
      <c r="S561" s="37"/>
      <c r="T561" s="37"/>
    </row>
    <row r="562">
      <c r="N562" s="37"/>
      <c r="S562" s="37"/>
      <c r="T562" s="37"/>
    </row>
    <row r="563">
      <c r="N563" s="37"/>
      <c r="S563" s="37"/>
      <c r="T563" s="37"/>
    </row>
    <row r="564">
      <c r="N564" s="37"/>
      <c r="S564" s="37"/>
      <c r="T564" s="37"/>
    </row>
    <row r="565">
      <c r="N565" s="37"/>
      <c r="S565" s="37"/>
      <c r="T565" s="37"/>
    </row>
    <row r="566">
      <c r="N566" s="37"/>
      <c r="S566" s="37"/>
      <c r="T566" s="37"/>
    </row>
    <row r="567">
      <c r="N567" s="37"/>
      <c r="S567" s="37"/>
      <c r="T567" s="37"/>
    </row>
    <row r="568">
      <c r="N568" s="37"/>
      <c r="S568" s="37"/>
      <c r="T568" s="37"/>
    </row>
    <row r="569">
      <c r="N569" s="37"/>
      <c r="S569" s="37"/>
      <c r="T569" s="37"/>
    </row>
    <row r="570">
      <c r="N570" s="37"/>
      <c r="S570" s="37"/>
      <c r="T570" s="37"/>
    </row>
    <row r="571">
      <c r="N571" s="37"/>
      <c r="S571" s="37"/>
      <c r="T571" s="37"/>
    </row>
    <row r="572">
      <c r="N572" s="37"/>
      <c r="S572" s="37"/>
      <c r="T572" s="37"/>
    </row>
    <row r="573">
      <c r="N573" s="37"/>
      <c r="S573" s="37"/>
      <c r="T573" s="37"/>
    </row>
    <row r="574">
      <c r="N574" s="37"/>
      <c r="S574" s="37"/>
      <c r="T574" s="37"/>
    </row>
    <row r="575">
      <c r="N575" s="37"/>
      <c r="S575" s="37"/>
      <c r="T575" s="37"/>
    </row>
    <row r="576">
      <c r="N576" s="37"/>
      <c r="S576" s="37"/>
      <c r="T576" s="37"/>
    </row>
    <row r="577">
      <c r="N577" s="37"/>
      <c r="S577" s="37"/>
      <c r="T577" s="37"/>
    </row>
    <row r="578">
      <c r="N578" s="37"/>
      <c r="S578" s="37"/>
      <c r="T578" s="37"/>
    </row>
    <row r="579">
      <c r="N579" s="37"/>
      <c r="S579" s="37"/>
      <c r="T579" s="37"/>
    </row>
    <row r="580">
      <c r="N580" s="37"/>
      <c r="S580" s="37"/>
      <c r="T580" s="37"/>
    </row>
    <row r="581">
      <c r="N581" s="37"/>
      <c r="S581" s="37"/>
      <c r="T581" s="37"/>
    </row>
    <row r="582">
      <c r="N582" s="37"/>
      <c r="S582" s="37"/>
      <c r="T582" s="37"/>
    </row>
    <row r="583">
      <c r="N583" s="37"/>
      <c r="S583" s="37"/>
      <c r="T583" s="37"/>
    </row>
    <row r="584">
      <c r="N584" s="37"/>
      <c r="S584" s="37"/>
      <c r="T584" s="37"/>
    </row>
    <row r="585">
      <c r="N585" s="37"/>
      <c r="S585" s="37"/>
      <c r="T585" s="37"/>
    </row>
    <row r="586">
      <c r="N586" s="37"/>
      <c r="S586" s="37"/>
      <c r="T586" s="37"/>
    </row>
    <row r="587">
      <c r="N587" s="37"/>
      <c r="S587" s="37"/>
      <c r="T587" s="37"/>
    </row>
    <row r="588">
      <c r="N588" s="37"/>
      <c r="S588" s="37"/>
      <c r="T588" s="37"/>
    </row>
    <row r="589">
      <c r="N589" s="37"/>
      <c r="S589" s="37"/>
      <c r="T589" s="37"/>
    </row>
    <row r="590">
      <c r="N590" s="37"/>
      <c r="S590" s="37"/>
      <c r="T590" s="37"/>
    </row>
    <row r="591">
      <c r="N591" s="37"/>
      <c r="S591" s="37"/>
      <c r="T591" s="37"/>
    </row>
    <row r="592">
      <c r="N592" s="37"/>
      <c r="S592" s="37"/>
      <c r="T592" s="37"/>
    </row>
    <row r="593">
      <c r="N593" s="37"/>
      <c r="S593" s="37"/>
      <c r="T593" s="37"/>
    </row>
    <row r="594">
      <c r="N594" s="37"/>
      <c r="S594" s="37"/>
      <c r="T594" s="37"/>
    </row>
    <row r="595">
      <c r="N595" s="37"/>
      <c r="S595" s="37"/>
      <c r="T595" s="37"/>
    </row>
    <row r="596">
      <c r="N596" s="37"/>
      <c r="S596" s="37"/>
      <c r="T596" s="37"/>
    </row>
    <row r="597">
      <c r="N597" s="37"/>
      <c r="S597" s="37"/>
      <c r="T597" s="37"/>
    </row>
    <row r="598">
      <c r="N598" s="37"/>
      <c r="S598" s="37"/>
      <c r="T598" s="37"/>
    </row>
    <row r="599">
      <c r="N599" s="37"/>
      <c r="S599" s="37"/>
      <c r="T599" s="37"/>
    </row>
    <row r="600">
      <c r="N600" s="37"/>
      <c r="S600" s="37"/>
      <c r="T600" s="37"/>
    </row>
    <row r="601">
      <c r="N601" s="37"/>
      <c r="S601" s="37"/>
      <c r="T601" s="37"/>
    </row>
    <row r="602">
      <c r="N602" s="37"/>
      <c r="S602" s="37"/>
      <c r="T602" s="37"/>
    </row>
    <row r="603">
      <c r="N603" s="37"/>
      <c r="S603" s="37"/>
      <c r="T603" s="37"/>
    </row>
    <row r="604">
      <c r="N604" s="37"/>
      <c r="S604" s="37"/>
      <c r="T604" s="37"/>
    </row>
    <row r="605">
      <c r="N605" s="37"/>
      <c r="S605" s="37"/>
      <c r="T605" s="37"/>
    </row>
    <row r="606">
      <c r="N606" s="37"/>
      <c r="S606" s="37"/>
      <c r="T606" s="37"/>
    </row>
    <row r="607">
      <c r="N607" s="37"/>
      <c r="S607" s="37"/>
      <c r="T607" s="37"/>
    </row>
    <row r="608">
      <c r="N608" s="37"/>
      <c r="S608" s="37"/>
      <c r="T608" s="37"/>
    </row>
    <row r="609">
      <c r="N609" s="37"/>
      <c r="S609" s="37"/>
      <c r="T609" s="37"/>
    </row>
    <row r="610">
      <c r="N610" s="37"/>
      <c r="S610" s="37"/>
      <c r="T610" s="37"/>
    </row>
    <row r="611">
      <c r="N611" s="37"/>
      <c r="S611" s="37"/>
      <c r="T611" s="37"/>
    </row>
    <row r="612">
      <c r="N612" s="37"/>
      <c r="S612" s="37"/>
      <c r="T612" s="37"/>
    </row>
    <row r="613">
      <c r="N613" s="37"/>
      <c r="S613" s="37"/>
      <c r="T613" s="37"/>
    </row>
    <row r="614">
      <c r="N614" s="37"/>
      <c r="S614" s="37"/>
      <c r="T614" s="37"/>
    </row>
    <row r="615">
      <c r="N615" s="37"/>
      <c r="S615" s="37"/>
      <c r="T615" s="37"/>
    </row>
    <row r="616">
      <c r="N616" s="37"/>
      <c r="S616" s="37"/>
      <c r="T616" s="37"/>
    </row>
    <row r="617">
      <c r="N617" s="37"/>
      <c r="S617" s="37"/>
      <c r="T617" s="37"/>
    </row>
    <row r="618">
      <c r="N618" s="37"/>
      <c r="S618" s="37"/>
      <c r="T618" s="37"/>
    </row>
    <row r="619">
      <c r="N619" s="37"/>
      <c r="S619" s="37"/>
      <c r="T619" s="37"/>
    </row>
    <row r="620">
      <c r="N620" s="37"/>
      <c r="S620" s="37"/>
      <c r="T620" s="37"/>
    </row>
    <row r="621">
      <c r="N621" s="37"/>
      <c r="S621" s="37"/>
      <c r="T621" s="37"/>
    </row>
    <row r="622">
      <c r="N622" s="37"/>
      <c r="S622" s="37"/>
      <c r="T622" s="37"/>
    </row>
    <row r="623">
      <c r="N623" s="37"/>
      <c r="S623" s="37"/>
      <c r="T623" s="37"/>
    </row>
    <row r="624">
      <c r="N624" s="37"/>
      <c r="S624" s="37"/>
      <c r="T624" s="37"/>
    </row>
    <row r="625">
      <c r="N625" s="37"/>
      <c r="S625" s="37"/>
      <c r="T625" s="37"/>
    </row>
    <row r="626">
      <c r="N626" s="37"/>
      <c r="S626" s="37"/>
      <c r="T626" s="37"/>
    </row>
    <row r="627">
      <c r="N627" s="37"/>
      <c r="S627" s="37"/>
      <c r="T627" s="37"/>
    </row>
    <row r="628">
      <c r="N628" s="37"/>
      <c r="S628" s="37"/>
      <c r="T628" s="37"/>
    </row>
    <row r="629">
      <c r="N629" s="37"/>
      <c r="S629" s="37"/>
      <c r="T629" s="37"/>
    </row>
    <row r="630">
      <c r="N630" s="37"/>
      <c r="S630" s="37"/>
      <c r="T630" s="37"/>
    </row>
    <row r="631">
      <c r="N631" s="37"/>
      <c r="S631" s="37"/>
      <c r="T631" s="37"/>
    </row>
    <row r="632">
      <c r="N632" s="37"/>
      <c r="S632" s="37"/>
      <c r="T632" s="37"/>
    </row>
    <row r="633">
      <c r="N633" s="37"/>
      <c r="S633" s="37"/>
      <c r="T633" s="37"/>
    </row>
    <row r="634">
      <c r="N634" s="37"/>
      <c r="S634" s="37"/>
      <c r="T634" s="37"/>
    </row>
    <row r="635">
      <c r="N635" s="37"/>
      <c r="S635" s="37"/>
      <c r="T635" s="37"/>
    </row>
    <row r="636">
      <c r="N636" s="37"/>
      <c r="S636" s="37"/>
      <c r="T636" s="37"/>
    </row>
    <row r="637">
      <c r="N637" s="37"/>
      <c r="S637" s="37"/>
      <c r="T637" s="37"/>
    </row>
    <row r="638">
      <c r="N638" s="37"/>
      <c r="S638" s="37"/>
      <c r="T638" s="37"/>
    </row>
    <row r="639">
      <c r="N639" s="37"/>
      <c r="S639" s="37"/>
      <c r="T639" s="37"/>
    </row>
    <row r="640">
      <c r="N640" s="37"/>
      <c r="S640" s="37"/>
      <c r="T640" s="37"/>
    </row>
    <row r="641">
      <c r="N641" s="37"/>
      <c r="S641" s="37"/>
      <c r="T641" s="37"/>
    </row>
    <row r="642">
      <c r="N642" s="37"/>
      <c r="S642" s="37"/>
      <c r="T642" s="37"/>
    </row>
    <row r="643">
      <c r="N643" s="37"/>
      <c r="S643" s="37"/>
      <c r="T643" s="37"/>
    </row>
    <row r="644">
      <c r="N644" s="37"/>
      <c r="S644" s="37"/>
      <c r="T644" s="37"/>
    </row>
    <row r="645">
      <c r="N645" s="37"/>
      <c r="S645" s="37"/>
      <c r="T645" s="37"/>
    </row>
    <row r="646">
      <c r="N646" s="37"/>
      <c r="S646" s="37"/>
      <c r="T646" s="37"/>
    </row>
    <row r="647">
      <c r="N647" s="37"/>
      <c r="S647" s="37"/>
      <c r="T647" s="37"/>
    </row>
    <row r="648">
      <c r="N648" s="37"/>
      <c r="S648" s="37"/>
      <c r="T648" s="37"/>
    </row>
    <row r="649">
      <c r="N649" s="37"/>
      <c r="S649" s="37"/>
      <c r="T649" s="37"/>
    </row>
    <row r="650">
      <c r="N650" s="37"/>
      <c r="S650" s="37"/>
      <c r="T650" s="37"/>
    </row>
    <row r="651">
      <c r="N651" s="37"/>
      <c r="S651" s="37"/>
      <c r="T651" s="37"/>
    </row>
    <row r="652">
      <c r="N652" s="37"/>
      <c r="S652" s="37"/>
      <c r="T652" s="37"/>
    </row>
    <row r="653">
      <c r="N653" s="37"/>
      <c r="S653" s="37"/>
      <c r="T653" s="37"/>
    </row>
    <row r="654">
      <c r="N654" s="37"/>
      <c r="S654" s="37"/>
      <c r="T654" s="37"/>
    </row>
    <row r="655">
      <c r="N655" s="37"/>
      <c r="S655" s="37"/>
      <c r="T655" s="37"/>
    </row>
    <row r="656">
      <c r="N656" s="37"/>
      <c r="S656" s="37"/>
      <c r="T656" s="37"/>
    </row>
    <row r="657">
      <c r="N657" s="37"/>
      <c r="S657" s="37"/>
      <c r="T657" s="37"/>
    </row>
    <row r="658">
      <c r="N658" s="37"/>
      <c r="S658" s="37"/>
      <c r="T658" s="37"/>
    </row>
    <row r="659">
      <c r="N659" s="37"/>
      <c r="S659" s="37"/>
      <c r="T659" s="37"/>
    </row>
    <row r="660">
      <c r="N660" s="37"/>
      <c r="S660" s="37"/>
      <c r="T660" s="37"/>
    </row>
    <row r="661">
      <c r="N661" s="37"/>
      <c r="S661" s="37"/>
      <c r="T661" s="37"/>
    </row>
    <row r="662">
      <c r="N662" s="37"/>
      <c r="S662" s="37"/>
      <c r="T662" s="37"/>
    </row>
    <row r="663">
      <c r="N663" s="37"/>
      <c r="S663" s="37"/>
      <c r="T663" s="37"/>
    </row>
    <row r="664">
      <c r="N664" s="37"/>
      <c r="S664" s="37"/>
      <c r="T664" s="37"/>
    </row>
    <row r="665">
      <c r="N665" s="37"/>
      <c r="S665" s="37"/>
      <c r="T665" s="37"/>
    </row>
    <row r="666">
      <c r="N666" s="37"/>
      <c r="S666" s="37"/>
      <c r="T666" s="37"/>
    </row>
    <row r="667">
      <c r="N667" s="37"/>
      <c r="S667" s="37"/>
      <c r="T667" s="37"/>
    </row>
    <row r="668">
      <c r="N668" s="37"/>
      <c r="S668" s="37"/>
      <c r="T668" s="37"/>
    </row>
    <row r="669">
      <c r="N669" s="37"/>
      <c r="S669" s="37"/>
      <c r="T669" s="37"/>
    </row>
    <row r="670">
      <c r="N670" s="37"/>
      <c r="S670" s="37"/>
      <c r="T670" s="37"/>
    </row>
    <row r="671">
      <c r="N671" s="37"/>
      <c r="S671" s="37"/>
      <c r="T671" s="37"/>
    </row>
    <row r="672">
      <c r="N672" s="37"/>
      <c r="S672" s="37"/>
      <c r="T672" s="37"/>
    </row>
    <row r="673">
      <c r="N673" s="37"/>
      <c r="S673" s="37"/>
      <c r="T673" s="37"/>
    </row>
    <row r="674">
      <c r="N674" s="37"/>
      <c r="S674" s="37"/>
      <c r="T674" s="37"/>
    </row>
    <row r="675">
      <c r="N675" s="37"/>
      <c r="S675" s="37"/>
      <c r="T675" s="37"/>
    </row>
    <row r="676">
      <c r="N676" s="37"/>
      <c r="S676" s="37"/>
      <c r="T676" s="37"/>
    </row>
    <row r="677">
      <c r="N677" s="37"/>
      <c r="S677" s="37"/>
      <c r="T677" s="37"/>
    </row>
    <row r="678">
      <c r="N678" s="37"/>
      <c r="S678" s="37"/>
      <c r="T678" s="37"/>
    </row>
    <row r="679">
      <c r="N679" s="37"/>
      <c r="S679" s="37"/>
      <c r="T679" s="37"/>
    </row>
    <row r="680">
      <c r="N680" s="37"/>
      <c r="S680" s="37"/>
      <c r="T680" s="37"/>
    </row>
    <row r="681">
      <c r="N681" s="37"/>
      <c r="S681" s="37"/>
      <c r="T681" s="37"/>
    </row>
    <row r="682">
      <c r="N682" s="37"/>
      <c r="S682" s="37"/>
      <c r="T682" s="37"/>
    </row>
    <row r="683">
      <c r="N683" s="37"/>
      <c r="S683" s="37"/>
      <c r="T683" s="37"/>
    </row>
    <row r="684">
      <c r="N684" s="37"/>
      <c r="S684" s="37"/>
      <c r="T684" s="37"/>
    </row>
    <row r="685">
      <c r="N685" s="37"/>
      <c r="S685" s="37"/>
      <c r="T685" s="37"/>
    </row>
    <row r="686">
      <c r="N686" s="37"/>
      <c r="S686" s="37"/>
      <c r="T686" s="37"/>
    </row>
    <row r="687">
      <c r="N687" s="37"/>
      <c r="S687" s="37"/>
      <c r="T687" s="37"/>
    </row>
    <row r="688">
      <c r="N688" s="37"/>
      <c r="S688" s="37"/>
      <c r="T688" s="37"/>
    </row>
    <row r="689">
      <c r="N689" s="37"/>
      <c r="S689" s="37"/>
      <c r="T689" s="37"/>
    </row>
    <row r="690">
      <c r="N690" s="37"/>
      <c r="S690" s="37"/>
      <c r="T690" s="37"/>
    </row>
    <row r="691">
      <c r="N691" s="37"/>
      <c r="S691" s="37"/>
      <c r="T691" s="37"/>
    </row>
    <row r="692">
      <c r="N692" s="37"/>
      <c r="S692" s="37"/>
      <c r="T692" s="37"/>
    </row>
    <row r="693">
      <c r="N693" s="37"/>
      <c r="S693" s="37"/>
      <c r="T693" s="37"/>
    </row>
    <row r="694">
      <c r="N694" s="37"/>
      <c r="S694" s="37"/>
      <c r="T694" s="37"/>
    </row>
    <row r="695">
      <c r="N695" s="37"/>
      <c r="S695" s="37"/>
      <c r="T695" s="37"/>
    </row>
    <row r="696">
      <c r="N696" s="37"/>
      <c r="S696" s="37"/>
      <c r="T696" s="37"/>
    </row>
    <row r="697">
      <c r="N697" s="37"/>
      <c r="S697" s="37"/>
      <c r="T697" s="37"/>
    </row>
    <row r="698">
      <c r="N698" s="37"/>
      <c r="S698" s="37"/>
      <c r="T698" s="37"/>
    </row>
    <row r="699">
      <c r="N699" s="37"/>
      <c r="S699" s="37"/>
      <c r="T699" s="37"/>
    </row>
    <row r="700">
      <c r="N700" s="37"/>
      <c r="S700" s="37"/>
      <c r="T700" s="37"/>
    </row>
    <row r="701">
      <c r="N701" s="37"/>
      <c r="S701" s="37"/>
      <c r="T701" s="37"/>
    </row>
    <row r="702">
      <c r="N702" s="37"/>
      <c r="S702" s="37"/>
      <c r="T702" s="37"/>
    </row>
    <row r="703">
      <c r="N703" s="37"/>
      <c r="S703" s="37"/>
      <c r="T703" s="37"/>
    </row>
    <row r="704">
      <c r="N704" s="37"/>
      <c r="S704" s="37"/>
      <c r="T704" s="37"/>
    </row>
    <row r="705">
      <c r="N705" s="37"/>
      <c r="S705" s="37"/>
      <c r="T705" s="37"/>
    </row>
    <row r="706">
      <c r="N706" s="37"/>
      <c r="S706" s="37"/>
      <c r="T706" s="37"/>
    </row>
    <row r="707">
      <c r="N707" s="37"/>
      <c r="S707" s="37"/>
      <c r="T707" s="37"/>
    </row>
    <row r="708">
      <c r="N708" s="37"/>
      <c r="S708" s="37"/>
      <c r="T708" s="37"/>
    </row>
    <row r="709">
      <c r="N709" s="37"/>
      <c r="S709" s="37"/>
      <c r="T709" s="37"/>
    </row>
    <row r="710">
      <c r="N710" s="37"/>
      <c r="S710" s="37"/>
      <c r="T710" s="37"/>
    </row>
    <row r="711">
      <c r="N711" s="37"/>
      <c r="S711" s="37"/>
      <c r="T711" s="37"/>
    </row>
    <row r="712">
      <c r="N712" s="37"/>
      <c r="S712" s="37"/>
      <c r="T712" s="37"/>
    </row>
    <row r="713">
      <c r="N713" s="37"/>
      <c r="S713" s="37"/>
      <c r="T713" s="37"/>
    </row>
    <row r="714">
      <c r="N714" s="37"/>
      <c r="S714" s="37"/>
      <c r="T714" s="37"/>
    </row>
    <row r="715">
      <c r="N715" s="37"/>
      <c r="S715" s="37"/>
      <c r="T715" s="37"/>
    </row>
    <row r="716">
      <c r="N716" s="37"/>
      <c r="S716" s="37"/>
      <c r="T716" s="37"/>
    </row>
    <row r="717">
      <c r="N717" s="37"/>
      <c r="S717" s="37"/>
      <c r="T717" s="37"/>
    </row>
    <row r="718">
      <c r="N718" s="37"/>
      <c r="S718" s="37"/>
      <c r="T718" s="37"/>
    </row>
    <row r="719">
      <c r="N719" s="37"/>
      <c r="S719" s="37"/>
      <c r="T719" s="37"/>
    </row>
    <row r="720">
      <c r="N720" s="37"/>
      <c r="S720" s="37"/>
      <c r="T720" s="37"/>
    </row>
    <row r="721">
      <c r="N721" s="37"/>
      <c r="S721" s="37"/>
      <c r="T721" s="37"/>
    </row>
    <row r="722">
      <c r="N722" s="37"/>
      <c r="S722" s="37"/>
      <c r="T722" s="37"/>
    </row>
    <row r="723">
      <c r="N723" s="37"/>
      <c r="S723" s="37"/>
      <c r="T723" s="37"/>
    </row>
    <row r="724">
      <c r="N724" s="37"/>
      <c r="S724" s="37"/>
      <c r="T724" s="37"/>
    </row>
    <row r="725">
      <c r="N725" s="37"/>
      <c r="S725" s="37"/>
      <c r="T725" s="37"/>
    </row>
    <row r="726">
      <c r="N726" s="37"/>
      <c r="S726" s="37"/>
      <c r="T726" s="37"/>
    </row>
    <row r="727">
      <c r="N727" s="37"/>
      <c r="S727" s="37"/>
      <c r="T727" s="37"/>
    </row>
    <row r="728">
      <c r="N728" s="37"/>
      <c r="S728" s="37"/>
      <c r="T728" s="37"/>
    </row>
    <row r="729">
      <c r="N729" s="37"/>
      <c r="S729" s="37"/>
      <c r="T729" s="37"/>
    </row>
    <row r="730">
      <c r="N730" s="37"/>
      <c r="S730" s="37"/>
      <c r="T730" s="37"/>
    </row>
    <row r="731">
      <c r="N731" s="37"/>
      <c r="S731" s="37"/>
      <c r="T731" s="37"/>
    </row>
    <row r="732">
      <c r="N732" s="37"/>
      <c r="S732" s="37"/>
      <c r="T732" s="37"/>
    </row>
    <row r="733">
      <c r="N733" s="37"/>
      <c r="S733" s="37"/>
      <c r="T733" s="37"/>
    </row>
    <row r="734">
      <c r="N734" s="37"/>
      <c r="S734" s="37"/>
      <c r="T734" s="37"/>
    </row>
    <row r="735">
      <c r="N735" s="37"/>
      <c r="S735" s="37"/>
      <c r="T735" s="37"/>
    </row>
    <row r="736">
      <c r="N736" s="37"/>
      <c r="S736" s="37"/>
      <c r="T736" s="37"/>
    </row>
    <row r="737">
      <c r="N737" s="37"/>
      <c r="S737" s="37"/>
      <c r="T737" s="37"/>
    </row>
    <row r="738">
      <c r="N738" s="37"/>
      <c r="S738" s="37"/>
      <c r="T738" s="37"/>
    </row>
    <row r="739">
      <c r="N739" s="37"/>
      <c r="S739" s="37"/>
      <c r="T739" s="37"/>
    </row>
    <row r="740">
      <c r="N740" s="37"/>
      <c r="S740" s="37"/>
      <c r="T740" s="37"/>
    </row>
    <row r="741">
      <c r="N741" s="37"/>
      <c r="S741" s="37"/>
      <c r="T741" s="37"/>
    </row>
    <row r="742">
      <c r="N742" s="37"/>
      <c r="S742" s="37"/>
      <c r="T742" s="37"/>
    </row>
    <row r="743">
      <c r="N743" s="37"/>
      <c r="S743" s="37"/>
      <c r="T743" s="37"/>
    </row>
    <row r="744">
      <c r="N744" s="37"/>
      <c r="S744" s="37"/>
      <c r="T744" s="37"/>
    </row>
    <row r="745">
      <c r="N745" s="37"/>
      <c r="S745" s="37"/>
      <c r="T745" s="37"/>
    </row>
    <row r="746">
      <c r="N746" s="37"/>
      <c r="S746" s="37"/>
      <c r="T746" s="37"/>
    </row>
    <row r="747">
      <c r="N747" s="37"/>
      <c r="S747" s="37"/>
      <c r="T747" s="37"/>
    </row>
    <row r="748">
      <c r="N748" s="37"/>
      <c r="S748" s="37"/>
      <c r="T748" s="37"/>
    </row>
    <row r="749">
      <c r="N749" s="37"/>
      <c r="S749" s="37"/>
      <c r="T749" s="37"/>
    </row>
    <row r="750">
      <c r="N750" s="37"/>
      <c r="S750" s="37"/>
      <c r="T750" s="37"/>
    </row>
    <row r="751">
      <c r="N751" s="37"/>
      <c r="S751" s="37"/>
      <c r="T751" s="37"/>
    </row>
    <row r="752">
      <c r="N752" s="37"/>
      <c r="S752" s="37"/>
      <c r="T752" s="37"/>
    </row>
    <row r="753">
      <c r="N753" s="37"/>
      <c r="S753" s="37"/>
      <c r="T753" s="37"/>
    </row>
    <row r="754">
      <c r="N754" s="37"/>
      <c r="S754" s="37"/>
      <c r="T754" s="37"/>
    </row>
    <row r="755">
      <c r="N755" s="37"/>
      <c r="S755" s="37"/>
      <c r="T755" s="37"/>
    </row>
    <row r="756">
      <c r="N756" s="37"/>
      <c r="S756" s="37"/>
      <c r="T756" s="37"/>
    </row>
    <row r="757">
      <c r="N757" s="37"/>
      <c r="S757" s="37"/>
      <c r="T757" s="37"/>
    </row>
    <row r="758">
      <c r="N758" s="37"/>
      <c r="S758" s="37"/>
      <c r="T758" s="37"/>
    </row>
    <row r="759">
      <c r="N759" s="37"/>
      <c r="S759" s="37"/>
      <c r="T759" s="37"/>
    </row>
    <row r="760">
      <c r="N760" s="37"/>
      <c r="S760" s="37"/>
      <c r="T760" s="37"/>
    </row>
    <row r="761">
      <c r="N761" s="37"/>
      <c r="S761" s="37"/>
      <c r="T761" s="37"/>
    </row>
    <row r="762">
      <c r="N762" s="37"/>
      <c r="S762" s="37"/>
      <c r="T762" s="37"/>
    </row>
    <row r="763">
      <c r="N763" s="37"/>
      <c r="S763" s="37"/>
      <c r="T763" s="37"/>
    </row>
    <row r="764">
      <c r="N764" s="37"/>
      <c r="S764" s="37"/>
      <c r="T764" s="37"/>
    </row>
    <row r="765">
      <c r="N765" s="37"/>
      <c r="S765" s="37"/>
      <c r="T765" s="37"/>
    </row>
    <row r="766">
      <c r="N766" s="37"/>
      <c r="S766" s="37"/>
      <c r="T766" s="37"/>
    </row>
    <row r="767">
      <c r="N767" s="37"/>
      <c r="S767" s="37"/>
      <c r="T767" s="37"/>
    </row>
    <row r="768">
      <c r="N768" s="37"/>
      <c r="S768" s="37"/>
      <c r="T768" s="37"/>
    </row>
    <row r="769">
      <c r="N769" s="37"/>
      <c r="S769" s="37"/>
      <c r="T769" s="37"/>
    </row>
    <row r="770">
      <c r="N770" s="37"/>
      <c r="S770" s="37"/>
      <c r="T770" s="37"/>
    </row>
    <row r="771">
      <c r="N771" s="37"/>
      <c r="S771" s="37"/>
      <c r="T771" s="37"/>
    </row>
    <row r="772">
      <c r="N772" s="37"/>
      <c r="S772" s="37"/>
      <c r="T772" s="37"/>
    </row>
    <row r="773">
      <c r="N773" s="37"/>
      <c r="S773" s="37"/>
      <c r="T773" s="37"/>
    </row>
    <row r="774">
      <c r="N774" s="37"/>
      <c r="S774" s="37"/>
      <c r="T774" s="37"/>
    </row>
    <row r="775">
      <c r="N775" s="37"/>
      <c r="S775" s="37"/>
      <c r="T775" s="37"/>
    </row>
    <row r="776">
      <c r="N776" s="37"/>
      <c r="S776" s="37"/>
      <c r="T776" s="37"/>
    </row>
    <row r="777">
      <c r="N777" s="37"/>
      <c r="S777" s="37"/>
      <c r="T777" s="37"/>
    </row>
    <row r="778">
      <c r="N778" s="37"/>
      <c r="S778" s="37"/>
      <c r="T778" s="37"/>
    </row>
    <row r="779">
      <c r="N779" s="37"/>
      <c r="S779" s="37"/>
      <c r="T779" s="37"/>
    </row>
    <row r="780">
      <c r="N780" s="37"/>
      <c r="S780" s="37"/>
      <c r="T780" s="37"/>
    </row>
    <row r="781">
      <c r="N781" s="37"/>
      <c r="S781" s="37"/>
      <c r="T781" s="37"/>
    </row>
    <row r="782">
      <c r="N782" s="37"/>
      <c r="S782" s="37"/>
      <c r="T782" s="37"/>
    </row>
    <row r="783">
      <c r="N783" s="37"/>
      <c r="S783" s="37"/>
      <c r="T783" s="37"/>
    </row>
    <row r="784">
      <c r="N784" s="37"/>
      <c r="S784" s="37"/>
      <c r="T784" s="37"/>
    </row>
    <row r="785">
      <c r="N785" s="37"/>
      <c r="S785" s="37"/>
      <c r="T785" s="37"/>
    </row>
    <row r="786">
      <c r="N786" s="37"/>
      <c r="S786" s="37"/>
      <c r="T786" s="37"/>
    </row>
    <row r="787">
      <c r="N787" s="37"/>
      <c r="S787" s="37"/>
      <c r="T787" s="37"/>
    </row>
    <row r="788">
      <c r="N788" s="37"/>
      <c r="S788" s="37"/>
      <c r="T788" s="37"/>
    </row>
    <row r="789">
      <c r="N789" s="37"/>
      <c r="S789" s="37"/>
      <c r="T789" s="37"/>
    </row>
    <row r="790">
      <c r="N790" s="37"/>
      <c r="S790" s="37"/>
      <c r="T790" s="37"/>
    </row>
    <row r="791">
      <c r="N791" s="37"/>
      <c r="S791" s="37"/>
      <c r="T791" s="37"/>
    </row>
    <row r="792">
      <c r="N792" s="37"/>
      <c r="S792" s="37"/>
      <c r="T792" s="37"/>
    </row>
    <row r="793">
      <c r="N793" s="37"/>
      <c r="S793" s="37"/>
      <c r="T793" s="37"/>
    </row>
    <row r="794">
      <c r="N794" s="37"/>
      <c r="S794" s="37"/>
      <c r="T794" s="37"/>
    </row>
    <row r="795">
      <c r="N795" s="37"/>
      <c r="S795" s="37"/>
      <c r="T795" s="37"/>
    </row>
    <row r="796">
      <c r="N796" s="37"/>
      <c r="S796" s="37"/>
      <c r="T796" s="37"/>
    </row>
    <row r="797">
      <c r="N797" s="37"/>
      <c r="S797" s="37"/>
      <c r="T797" s="37"/>
    </row>
    <row r="798">
      <c r="N798" s="37"/>
      <c r="S798" s="37"/>
      <c r="T798" s="37"/>
    </row>
    <row r="799">
      <c r="N799" s="37"/>
      <c r="S799" s="37"/>
      <c r="T799" s="37"/>
    </row>
    <row r="800">
      <c r="N800" s="37"/>
      <c r="S800" s="37"/>
      <c r="T800" s="37"/>
    </row>
    <row r="801">
      <c r="N801" s="37"/>
      <c r="S801" s="37"/>
      <c r="T801" s="37"/>
    </row>
    <row r="802">
      <c r="N802" s="37"/>
      <c r="S802" s="37"/>
      <c r="T802" s="37"/>
    </row>
    <row r="803">
      <c r="N803" s="37"/>
      <c r="S803" s="37"/>
      <c r="T803" s="37"/>
    </row>
    <row r="804">
      <c r="N804" s="37"/>
      <c r="S804" s="37"/>
      <c r="T804" s="37"/>
    </row>
    <row r="805">
      <c r="N805" s="37"/>
      <c r="S805" s="37"/>
      <c r="T805" s="37"/>
    </row>
    <row r="806">
      <c r="N806" s="37"/>
      <c r="S806" s="37"/>
      <c r="T806" s="37"/>
    </row>
    <row r="807">
      <c r="N807" s="37"/>
      <c r="S807" s="37"/>
      <c r="T807" s="37"/>
    </row>
    <row r="808">
      <c r="N808" s="37"/>
      <c r="S808" s="37"/>
      <c r="T808" s="37"/>
    </row>
    <row r="809">
      <c r="N809" s="37"/>
      <c r="S809" s="37"/>
      <c r="T809" s="37"/>
    </row>
    <row r="810">
      <c r="N810" s="37"/>
      <c r="S810" s="37"/>
      <c r="T810" s="37"/>
    </row>
    <row r="811">
      <c r="N811" s="37"/>
      <c r="S811" s="37"/>
      <c r="T811" s="37"/>
    </row>
    <row r="812">
      <c r="N812" s="37"/>
      <c r="S812" s="37"/>
      <c r="T812" s="37"/>
    </row>
    <row r="813">
      <c r="N813" s="37"/>
      <c r="S813" s="37"/>
      <c r="T813" s="37"/>
    </row>
    <row r="814">
      <c r="N814" s="37"/>
      <c r="S814" s="37"/>
      <c r="T814" s="37"/>
    </row>
    <row r="815">
      <c r="N815" s="37"/>
      <c r="S815" s="37"/>
      <c r="T815" s="37"/>
    </row>
    <row r="816">
      <c r="N816" s="37"/>
      <c r="S816" s="37"/>
      <c r="T816" s="37"/>
    </row>
    <row r="817">
      <c r="N817" s="37"/>
      <c r="S817" s="37"/>
      <c r="T817" s="37"/>
    </row>
    <row r="818">
      <c r="N818" s="37"/>
      <c r="S818" s="37"/>
      <c r="T818" s="37"/>
    </row>
    <row r="819">
      <c r="N819" s="37"/>
      <c r="S819" s="37"/>
      <c r="T819" s="37"/>
    </row>
    <row r="820">
      <c r="N820" s="37"/>
      <c r="S820" s="37"/>
      <c r="T820" s="37"/>
    </row>
    <row r="821">
      <c r="N821" s="37"/>
      <c r="S821" s="37"/>
      <c r="T821" s="37"/>
    </row>
    <row r="822">
      <c r="N822" s="37"/>
      <c r="S822" s="37"/>
      <c r="T822" s="37"/>
    </row>
    <row r="823">
      <c r="N823" s="37"/>
      <c r="S823" s="37"/>
      <c r="T823" s="37"/>
    </row>
    <row r="824">
      <c r="N824" s="37"/>
      <c r="S824" s="37"/>
      <c r="T824" s="37"/>
    </row>
    <row r="825">
      <c r="N825" s="37"/>
      <c r="S825" s="37"/>
      <c r="T825" s="37"/>
    </row>
    <row r="826">
      <c r="N826" s="37"/>
      <c r="S826" s="37"/>
      <c r="T826" s="37"/>
    </row>
    <row r="827">
      <c r="N827" s="37"/>
      <c r="S827" s="37"/>
      <c r="T827" s="37"/>
    </row>
    <row r="828">
      <c r="N828" s="37"/>
      <c r="S828" s="37"/>
      <c r="T828" s="37"/>
    </row>
    <row r="829">
      <c r="N829" s="37"/>
      <c r="S829" s="37"/>
      <c r="T829" s="37"/>
    </row>
    <row r="830">
      <c r="N830" s="37"/>
      <c r="S830" s="37"/>
      <c r="T830" s="37"/>
    </row>
    <row r="831">
      <c r="N831" s="37"/>
      <c r="S831" s="37"/>
      <c r="T831" s="37"/>
    </row>
    <row r="832">
      <c r="N832" s="37"/>
      <c r="S832" s="37"/>
      <c r="T832" s="37"/>
    </row>
    <row r="833">
      <c r="N833" s="37"/>
      <c r="S833" s="37"/>
      <c r="T833" s="37"/>
    </row>
    <row r="834">
      <c r="N834" s="37"/>
      <c r="S834" s="37"/>
      <c r="T834" s="37"/>
    </row>
    <row r="835">
      <c r="N835" s="37"/>
      <c r="S835" s="37"/>
      <c r="T835" s="37"/>
    </row>
    <row r="836">
      <c r="N836" s="37"/>
      <c r="S836" s="37"/>
      <c r="T836" s="37"/>
    </row>
    <row r="837">
      <c r="N837" s="37"/>
      <c r="S837" s="37"/>
      <c r="T837" s="37"/>
    </row>
    <row r="838">
      <c r="N838" s="37"/>
      <c r="S838" s="37"/>
      <c r="T838" s="37"/>
    </row>
    <row r="839">
      <c r="N839" s="37"/>
      <c r="S839" s="37"/>
      <c r="T839" s="37"/>
    </row>
    <row r="840">
      <c r="N840" s="37"/>
      <c r="S840" s="37"/>
      <c r="T840" s="37"/>
    </row>
    <row r="841">
      <c r="N841" s="37"/>
      <c r="S841" s="37"/>
      <c r="T841" s="37"/>
    </row>
    <row r="842">
      <c r="N842" s="37"/>
      <c r="S842" s="37"/>
      <c r="T842" s="37"/>
    </row>
    <row r="843">
      <c r="N843" s="37"/>
      <c r="S843" s="37"/>
      <c r="T843" s="37"/>
    </row>
    <row r="844">
      <c r="N844" s="37"/>
      <c r="S844" s="37"/>
      <c r="T844" s="37"/>
    </row>
    <row r="845">
      <c r="N845" s="37"/>
      <c r="S845" s="37"/>
      <c r="T845" s="37"/>
    </row>
    <row r="846">
      <c r="N846" s="37"/>
      <c r="S846" s="37"/>
      <c r="T846" s="37"/>
    </row>
    <row r="847">
      <c r="N847" s="37"/>
      <c r="S847" s="37"/>
      <c r="T847" s="37"/>
    </row>
    <row r="848">
      <c r="N848" s="37"/>
      <c r="S848" s="37"/>
      <c r="T848" s="37"/>
    </row>
    <row r="849">
      <c r="N849" s="37"/>
      <c r="S849" s="37"/>
      <c r="T849" s="37"/>
    </row>
    <row r="850">
      <c r="N850" s="37"/>
      <c r="S850" s="37"/>
      <c r="T850" s="37"/>
    </row>
    <row r="851">
      <c r="N851" s="37"/>
      <c r="S851" s="37"/>
      <c r="T851" s="37"/>
    </row>
    <row r="852">
      <c r="N852" s="37"/>
      <c r="S852" s="37"/>
      <c r="T852" s="37"/>
    </row>
    <row r="853">
      <c r="N853" s="37"/>
      <c r="S853" s="37"/>
      <c r="T853" s="37"/>
    </row>
    <row r="854">
      <c r="N854" s="37"/>
      <c r="S854" s="37"/>
      <c r="T854" s="37"/>
    </row>
    <row r="855">
      <c r="N855" s="37"/>
      <c r="S855" s="37"/>
      <c r="T855" s="37"/>
    </row>
    <row r="856">
      <c r="N856" s="37"/>
      <c r="S856" s="37"/>
      <c r="T856" s="37"/>
    </row>
    <row r="857">
      <c r="N857" s="37"/>
      <c r="S857" s="37"/>
      <c r="T857" s="37"/>
    </row>
    <row r="858">
      <c r="N858" s="37"/>
      <c r="S858" s="37"/>
      <c r="T858" s="37"/>
    </row>
    <row r="859">
      <c r="N859" s="37"/>
      <c r="S859" s="37"/>
      <c r="T859" s="37"/>
    </row>
    <row r="860">
      <c r="N860" s="37"/>
      <c r="S860" s="37"/>
      <c r="T860" s="37"/>
    </row>
    <row r="861">
      <c r="N861" s="37"/>
      <c r="S861" s="37"/>
      <c r="T861" s="37"/>
    </row>
    <row r="862">
      <c r="N862" s="37"/>
      <c r="S862" s="37"/>
      <c r="T862" s="37"/>
    </row>
    <row r="863">
      <c r="N863" s="37"/>
      <c r="S863" s="37"/>
      <c r="T863" s="37"/>
    </row>
    <row r="864">
      <c r="N864" s="37"/>
      <c r="S864" s="37"/>
      <c r="T864" s="37"/>
    </row>
    <row r="865">
      <c r="N865" s="37"/>
      <c r="S865" s="37"/>
      <c r="T865" s="37"/>
    </row>
    <row r="866">
      <c r="N866" s="37"/>
      <c r="S866" s="37"/>
      <c r="T866" s="37"/>
    </row>
    <row r="867">
      <c r="N867" s="37"/>
      <c r="S867" s="37"/>
      <c r="T867" s="37"/>
    </row>
    <row r="868">
      <c r="N868" s="37"/>
      <c r="S868" s="37"/>
      <c r="T868" s="37"/>
    </row>
    <row r="869">
      <c r="N869" s="37"/>
      <c r="S869" s="37"/>
      <c r="T869" s="37"/>
    </row>
    <row r="870">
      <c r="N870" s="37"/>
      <c r="S870" s="37"/>
      <c r="T870" s="37"/>
    </row>
    <row r="871">
      <c r="N871" s="37"/>
      <c r="S871" s="37"/>
      <c r="T871" s="37"/>
    </row>
    <row r="872">
      <c r="N872" s="37"/>
      <c r="S872" s="37"/>
      <c r="T872" s="37"/>
    </row>
    <row r="873">
      <c r="N873" s="37"/>
      <c r="S873" s="37"/>
      <c r="T873" s="37"/>
    </row>
    <row r="874">
      <c r="N874" s="37"/>
      <c r="S874" s="37"/>
      <c r="T874" s="37"/>
    </row>
    <row r="875">
      <c r="N875" s="37"/>
      <c r="S875" s="37"/>
      <c r="T875" s="37"/>
    </row>
    <row r="876">
      <c r="N876" s="37"/>
      <c r="S876" s="37"/>
      <c r="T876" s="37"/>
    </row>
    <row r="877">
      <c r="N877" s="37"/>
      <c r="S877" s="37"/>
      <c r="T877" s="37"/>
    </row>
    <row r="878">
      <c r="N878" s="37"/>
      <c r="S878" s="37"/>
      <c r="T878" s="37"/>
    </row>
    <row r="879">
      <c r="N879" s="37"/>
      <c r="S879" s="37"/>
      <c r="T879" s="37"/>
    </row>
    <row r="880">
      <c r="N880" s="37"/>
      <c r="S880" s="37"/>
      <c r="T880" s="37"/>
    </row>
    <row r="881">
      <c r="N881" s="37"/>
      <c r="S881" s="37"/>
      <c r="T881" s="37"/>
    </row>
    <row r="882">
      <c r="N882" s="37"/>
      <c r="S882" s="37"/>
      <c r="T882" s="37"/>
    </row>
    <row r="883">
      <c r="N883" s="37"/>
      <c r="S883" s="37"/>
      <c r="T883" s="37"/>
    </row>
    <row r="884">
      <c r="N884" s="37"/>
      <c r="S884" s="37"/>
      <c r="T884" s="37"/>
    </row>
    <row r="885">
      <c r="N885" s="37"/>
      <c r="S885" s="37"/>
      <c r="T885" s="37"/>
    </row>
    <row r="886">
      <c r="N886" s="37"/>
      <c r="S886" s="37"/>
      <c r="T886" s="37"/>
    </row>
    <row r="887">
      <c r="N887" s="37"/>
      <c r="S887" s="37"/>
      <c r="T887" s="37"/>
    </row>
    <row r="888">
      <c r="N888" s="37"/>
      <c r="S888" s="37"/>
      <c r="T888" s="37"/>
    </row>
    <row r="889">
      <c r="N889" s="37"/>
      <c r="S889" s="37"/>
      <c r="T889" s="37"/>
    </row>
    <row r="890">
      <c r="N890" s="37"/>
      <c r="S890" s="37"/>
      <c r="T890" s="37"/>
    </row>
    <row r="891">
      <c r="N891" s="37"/>
      <c r="S891" s="37"/>
      <c r="T891" s="37"/>
    </row>
    <row r="892">
      <c r="N892" s="37"/>
      <c r="S892" s="37"/>
      <c r="T892" s="37"/>
    </row>
    <row r="893">
      <c r="N893" s="37"/>
      <c r="S893" s="37"/>
      <c r="T893" s="37"/>
    </row>
    <row r="894">
      <c r="N894" s="37"/>
      <c r="S894" s="37"/>
      <c r="T894" s="37"/>
    </row>
    <row r="895">
      <c r="N895" s="37"/>
      <c r="S895" s="37"/>
      <c r="T895" s="37"/>
    </row>
    <row r="896">
      <c r="N896" s="37"/>
      <c r="S896" s="37"/>
      <c r="T896" s="37"/>
    </row>
    <row r="897">
      <c r="N897" s="37"/>
      <c r="S897" s="37"/>
      <c r="T897" s="37"/>
    </row>
    <row r="898">
      <c r="N898" s="37"/>
      <c r="S898" s="37"/>
      <c r="T898" s="37"/>
    </row>
    <row r="899">
      <c r="N899" s="37"/>
      <c r="S899" s="37"/>
      <c r="T899" s="37"/>
    </row>
    <row r="900">
      <c r="N900" s="37"/>
      <c r="S900" s="37"/>
      <c r="T900" s="37"/>
    </row>
    <row r="901">
      <c r="N901" s="37"/>
      <c r="S901" s="37"/>
      <c r="T901" s="37"/>
    </row>
    <row r="902">
      <c r="N902" s="37"/>
      <c r="S902" s="37"/>
      <c r="T902" s="37"/>
    </row>
    <row r="903">
      <c r="N903" s="37"/>
      <c r="S903" s="37"/>
      <c r="T903" s="37"/>
    </row>
    <row r="904">
      <c r="N904" s="37"/>
      <c r="S904" s="37"/>
      <c r="T904" s="37"/>
    </row>
    <row r="905">
      <c r="N905" s="37"/>
      <c r="S905" s="37"/>
      <c r="T905" s="37"/>
    </row>
    <row r="906">
      <c r="N906" s="37"/>
      <c r="S906" s="37"/>
      <c r="T906" s="37"/>
    </row>
    <row r="907">
      <c r="N907" s="37"/>
      <c r="S907" s="37"/>
      <c r="T907" s="37"/>
    </row>
    <row r="908">
      <c r="N908" s="37"/>
      <c r="S908" s="37"/>
      <c r="T908" s="37"/>
    </row>
    <row r="909">
      <c r="N909" s="37"/>
      <c r="S909" s="37"/>
      <c r="T909" s="37"/>
    </row>
    <row r="910">
      <c r="N910" s="37"/>
      <c r="S910" s="37"/>
      <c r="T910" s="37"/>
    </row>
    <row r="911">
      <c r="N911" s="37"/>
      <c r="S911" s="37"/>
      <c r="T911" s="37"/>
    </row>
    <row r="912">
      <c r="N912" s="37"/>
      <c r="S912" s="37"/>
      <c r="T912" s="37"/>
    </row>
    <row r="913">
      <c r="N913" s="37"/>
      <c r="S913" s="37"/>
      <c r="T913" s="37"/>
    </row>
    <row r="914">
      <c r="N914" s="37"/>
      <c r="S914" s="37"/>
      <c r="T914" s="37"/>
    </row>
    <row r="915">
      <c r="N915" s="37"/>
      <c r="S915" s="37"/>
      <c r="T915" s="37"/>
    </row>
    <row r="916">
      <c r="N916" s="37"/>
      <c r="S916" s="37"/>
      <c r="T916" s="37"/>
    </row>
    <row r="917">
      <c r="N917" s="37"/>
      <c r="S917" s="37"/>
      <c r="T917" s="37"/>
    </row>
    <row r="918">
      <c r="N918" s="37"/>
      <c r="S918" s="37"/>
      <c r="T918" s="37"/>
    </row>
    <row r="919">
      <c r="N919" s="37"/>
      <c r="S919" s="37"/>
      <c r="T919" s="37"/>
    </row>
    <row r="920">
      <c r="N920" s="37"/>
      <c r="S920" s="37"/>
      <c r="T920" s="37"/>
    </row>
    <row r="921">
      <c r="N921" s="37"/>
      <c r="S921" s="37"/>
      <c r="T921" s="37"/>
    </row>
    <row r="922">
      <c r="N922" s="37"/>
      <c r="S922" s="37"/>
      <c r="T922" s="37"/>
    </row>
    <row r="923">
      <c r="N923" s="37"/>
      <c r="S923" s="37"/>
      <c r="T923" s="37"/>
    </row>
    <row r="924">
      <c r="N924" s="37"/>
      <c r="S924" s="37"/>
      <c r="T924" s="37"/>
    </row>
    <row r="925">
      <c r="N925" s="37"/>
      <c r="S925" s="37"/>
      <c r="T925" s="37"/>
    </row>
    <row r="926">
      <c r="N926" s="37"/>
      <c r="S926" s="37"/>
      <c r="T926" s="37"/>
    </row>
    <row r="927">
      <c r="N927" s="37"/>
      <c r="S927" s="37"/>
      <c r="T927" s="37"/>
    </row>
    <row r="928">
      <c r="N928" s="37"/>
      <c r="S928" s="37"/>
      <c r="T928" s="37"/>
    </row>
    <row r="929">
      <c r="N929" s="37"/>
      <c r="S929" s="37"/>
      <c r="T929" s="37"/>
    </row>
    <row r="930">
      <c r="N930" s="37"/>
      <c r="S930" s="37"/>
      <c r="T930" s="37"/>
    </row>
    <row r="931">
      <c r="N931" s="37"/>
      <c r="S931" s="37"/>
      <c r="T931" s="37"/>
    </row>
    <row r="932">
      <c r="N932" s="37"/>
      <c r="S932" s="37"/>
      <c r="T932" s="37"/>
    </row>
    <row r="933">
      <c r="N933" s="37"/>
      <c r="S933" s="37"/>
      <c r="T933" s="37"/>
    </row>
    <row r="934">
      <c r="N934" s="37"/>
      <c r="S934" s="37"/>
      <c r="T934" s="37"/>
    </row>
    <row r="935">
      <c r="N935" s="37"/>
      <c r="S935" s="37"/>
      <c r="T935" s="37"/>
    </row>
    <row r="936">
      <c r="N936" s="37"/>
      <c r="S936" s="37"/>
      <c r="T936" s="37"/>
    </row>
    <row r="937">
      <c r="N937" s="37"/>
      <c r="S937" s="37"/>
      <c r="T937" s="37"/>
    </row>
    <row r="938">
      <c r="N938" s="37"/>
      <c r="S938" s="37"/>
      <c r="T938" s="37"/>
    </row>
    <row r="939">
      <c r="N939" s="37"/>
      <c r="S939" s="37"/>
      <c r="T939" s="37"/>
    </row>
    <row r="940">
      <c r="N940" s="37"/>
      <c r="S940" s="37"/>
      <c r="T940" s="37"/>
    </row>
    <row r="941">
      <c r="N941" s="37"/>
      <c r="S941" s="37"/>
      <c r="T941" s="37"/>
    </row>
    <row r="942">
      <c r="N942" s="37"/>
      <c r="S942" s="37"/>
      <c r="T942" s="37"/>
    </row>
    <row r="943">
      <c r="N943" s="37"/>
      <c r="S943" s="37"/>
      <c r="T943" s="37"/>
    </row>
    <row r="944">
      <c r="N944" s="37"/>
      <c r="S944" s="37"/>
      <c r="T944" s="37"/>
    </row>
    <row r="945">
      <c r="N945" s="37"/>
      <c r="S945" s="37"/>
      <c r="T945" s="37"/>
    </row>
    <row r="946">
      <c r="N946" s="37"/>
      <c r="S946" s="37"/>
      <c r="T946" s="37"/>
    </row>
    <row r="947">
      <c r="N947" s="37"/>
      <c r="S947" s="37"/>
      <c r="T947" s="37"/>
    </row>
    <row r="948">
      <c r="N948" s="37"/>
      <c r="S948" s="37"/>
      <c r="T948" s="37"/>
    </row>
    <row r="949">
      <c r="N949" s="37"/>
      <c r="S949" s="37"/>
      <c r="T949" s="37"/>
    </row>
    <row r="950">
      <c r="N950" s="37"/>
      <c r="S950" s="37"/>
      <c r="T950" s="37"/>
    </row>
    <row r="951">
      <c r="N951" s="37"/>
      <c r="S951" s="37"/>
      <c r="T951" s="37"/>
    </row>
    <row r="952">
      <c r="N952" s="37"/>
      <c r="S952" s="37"/>
      <c r="T952" s="37"/>
    </row>
    <row r="953">
      <c r="N953" s="37"/>
      <c r="S953" s="37"/>
      <c r="T953" s="37"/>
    </row>
    <row r="954">
      <c r="N954" s="37"/>
      <c r="S954" s="37"/>
      <c r="T954" s="37"/>
    </row>
    <row r="955">
      <c r="N955" s="37"/>
      <c r="S955" s="37"/>
      <c r="T955" s="37"/>
    </row>
    <row r="956">
      <c r="N956" s="37"/>
      <c r="S956" s="37"/>
      <c r="T956" s="37"/>
    </row>
    <row r="957">
      <c r="N957" s="37"/>
      <c r="S957" s="37"/>
      <c r="T957" s="37"/>
    </row>
    <row r="958">
      <c r="N958" s="37"/>
      <c r="S958" s="37"/>
      <c r="T958" s="37"/>
    </row>
    <row r="959">
      <c r="N959" s="37"/>
      <c r="S959" s="37"/>
      <c r="T959" s="37"/>
    </row>
    <row r="960">
      <c r="N960" s="37"/>
      <c r="S960" s="37"/>
      <c r="T960" s="37"/>
    </row>
    <row r="961">
      <c r="N961" s="37"/>
      <c r="S961" s="37"/>
      <c r="T961" s="37"/>
    </row>
    <row r="962">
      <c r="N962" s="37"/>
      <c r="S962" s="37"/>
      <c r="T962" s="37"/>
    </row>
    <row r="963">
      <c r="N963" s="37"/>
      <c r="S963" s="37"/>
      <c r="T963" s="37"/>
    </row>
    <row r="964">
      <c r="N964" s="37"/>
      <c r="S964" s="37"/>
      <c r="T964" s="37"/>
    </row>
    <row r="965">
      <c r="N965" s="37"/>
      <c r="S965" s="37"/>
      <c r="T965" s="37"/>
    </row>
    <row r="966">
      <c r="N966" s="37"/>
      <c r="S966" s="37"/>
      <c r="T966" s="37"/>
    </row>
    <row r="967">
      <c r="N967" s="37"/>
      <c r="S967" s="37"/>
      <c r="T967" s="37"/>
    </row>
    <row r="968">
      <c r="N968" s="37"/>
      <c r="S968" s="37"/>
      <c r="T968" s="37"/>
    </row>
    <row r="969">
      <c r="N969" s="37"/>
      <c r="S969" s="37"/>
      <c r="T969" s="37"/>
    </row>
    <row r="970">
      <c r="N970" s="37"/>
      <c r="S970" s="37"/>
      <c r="T970" s="37"/>
    </row>
    <row r="971">
      <c r="N971" s="37"/>
      <c r="S971" s="37"/>
      <c r="T971" s="37"/>
    </row>
    <row r="972">
      <c r="N972" s="37"/>
      <c r="S972" s="37"/>
      <c r="T972" s="37"/>
    </row>
    <row r="973">
      <c r="N973" s="37"/>
      <c r="S973" s="37"/>
      <c r="T973" s="37"/>
    </row>
    <row r="974">
      <c r="N974" s="37"/>
      <c r="S974" s="37"/>
      <c r="T974" s="37"/>
    </row>
    <row r="975">
      <c r="N975" s="37"/>
      <c r="S975" s="37"/>
      <c r="T975" s="37"/>
    </row>
    <row r="976">
      <c r="N976" s="37"/>
      <c r="S976" s="37"/>
      <c r="T976" s="37"/>
    </row>
    <row r="977">
      <c r="N977" s="37"/>
      <c r="S977" s="37"/>
      <c r="T977" s="37"/>
    </row>
    <row r="978">
      <c r="N978" s="37"/>
      <c r="S978" s="37"/>
      <c r="T978" s="37"/>
    </row>
    <row r="979">
      <c r="N979" s="37"/>
      <c r="S979" s="37"/>
      <c r="T979" s="37"/>
    </row>
    <row r="980">
      <c r="N980" s="37"/>
      <c r="S980" s="37"/>
      <c r="T980" s="37"/>
    </row>
    <row r="981">
      <c r="N981" s="37"/>
      <c r="S981" s="37"/>
      <c r="T981" s="37"/>
    </row>
    <row r="982">
      <c r="N982" s="37"/>
      <c r="S982" s="37"/>
      <c r="T982" s="37"/>
    </row>
    <row r="983">
      <c r="N983" s="37"/>
      <c r="S983" s="37"/>
      <c r="T983" s="37"/>
    </row>
    <row r="984">
      <c r="N984" s="37"/>
      <c r="S984" s="37"/>
      <c r="T984" s="37"/>
    </row>
    <row r="985">
      <c r="N985" s="37"/>
      <c r="S985" s="37"/>
      <c r="T985" s="37"/>
    </row>
    <row r="986">
      <c r="N986" s="37"/>
      <c r="S986" s="37"/>
      <c r="T986" s="37"/>
    </row>
    <row r="987">
      <c r="N987" s="37"/>
      <c r="S987" s="37"/>
      <c r="T987" s="37"/>
    </row>
    <row r="988">
      <c r="N988" s="37"/>
      <c r="S988" s="37"/>
      <c r="T988" s="37"/>
    </row>
    <row r="989">
      <c r="N989" s="37"/>
      <c r="S989" s="37"/>
      <c r="T989" s="37"/>
    </row>
    <row r="990">
      <c r="N990" s="37"/>
      <c r="S990" s="37"/>
      <c r="T990" s="37"/>
    </row>
    <row r="991">
      <c r="N991" s="37"/>
      <c r="S991" s="37"/>
      <c r="T991" s="37"/>
    </row>
    <row r="992">
      <c r="N992" s="37"/>
      <c r="S992" s="37"/>
      <c r="T992" s="37"/>
    </row>
    <row r="993">
      <c r="N993" s="37"/>
      <c r="S993" s="37"/>
      <c r="T993" s="37"/>
    </row>
    <row r="994">
      <c r="N994" s="37"/>
      <c r="S994" s="37"/>
      <c r="T994" s="37"/>
    </row>
    <row r="995">
      <c r="N995" s="37"/>
      <c r="S995" s="37"/>
      <c r="T995" s="37"/>
    </row>
    <row r="996">
      <c r="N996" s="37"/>
      <c r="S996" s="37"/>
      <c r="T996" s="37"/>
    </row>
    <row r="997">
      <c r="N997" s="37"/>
      <c r="S997" s="37"/>
      <c r="T997" s="37"/>
    </row>
    <row r="998">
      <c r="N998" s="37"/>
      <c r="S998" s="37"/>
      <c r="T998" s="37"/>
    </row>
    <row r="999">
      <c r="N999" s="37"/>
      <c r="S999" s="37"/>
      <c r="T999" s="37"/>
    </row>
    <row r="1000">
      <c r="N1000" s="37"/>
      <c r="S1000" s="37"/>
      <c r="T1000" s="3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" t="s">
        <v>829</v>
      </c>
      <c r="B1" s="36" t="s">
        <v>0</v>
      </c>
      <c r="C1" s="2" t="s">
        <v>1</v>
      </c>
      <c r="D1" s="2" t="s">
        <v>2</v>
      </c>
      <c r="E1" s="2" t="s">
        <v>832</v>
      </c>
      <c r="F1" s="2" t="s">
        <v>834</v>
      </c>
      <c r="G1" s="2" t="s">
        <v>835</v>
      </c>
      <c r="H1" s="2" t="s">
        <v>836</v>
      </c>
      <c r="I1" s="2" t="s">
        <v>837</v>
      </c>
      <c r="J1" s="2" t="s">
        <v>838</v>
      </c>
      <c r="K1" s="2" t="s">
        <v>839</v>
      </c>
      <c r="L1" s="2" t="s">
        <v>840</v>
      </c>
      <c r="M1" s="2" t="s">
        <v>9</v>
      </c>
      <c r="N1" s="2" t="s">
        <v>12</v>
      </c>
      <c r="O1" s="2" t="s">
        <v>7</v>
      </c>
      <c r="P1" s="2" t="s">
        <v>841</v>
      </c>
      <c r="Q1" s="2" t="s">
        <v>843</v>
      </c>
      <c r="R1" s="2" t="s">
        <v>844</v>
      </c>
      <c r="S1" s="2" t="s">
        <v>842</v>
      </c>
      <c r="T1" s="2" t="s">
        <v>845</v>
      </c>
      <c r="U1" s="36" t="s">
        <v>846</v>
      </c>
      <c r="V1" s="3"/>
      <c r="W1" s="3"/>
      <c r="X1" s="3"/>
      <c r="Y1" s="3"/>
      <c r="Z1" s="3"/>
    </row>
    <row r="2">
      <c r="B2" s="37"/>
      <c r="U2" s="37"/>
    </row>
    <row r="3">
      <c r="B3" s="37"/>
      <c r="U3" s="37"/>
    </row>
    <row r="4">
      <c r="B4" s="37"/>
      <c r="U4" s="37"/>
    </row>
    <row r="5">
      <c r="B5" s="37"/>
      <c r="U5" s="37"/>
    </row>
    <row r="6">
      <c r="B6" s="37"/>
      <c r="U6" s="37"/>
    </row>
    <row r="7">
      <c r="B7" s="37"/>
      <c r="U7" s="37"/>
    </row>
    <row r="8">
      <c r="B8" s="37"/>
      <c r="U8" s="37"/>
    </row>
    <row r="9">
      <c r="B9" s="37"/>
      <c r="U9" s="37"/>
    </row>
    <row r="10">
      <c r="B10" s="37"/>
      <c r="U10" s="37"/>
    </row>
    <row r="11">
      <c r="B11" s="37"/>
      <c r="U11" s="37"/>
    </row>
    <row r="12">
      <c r="B12" s="37"/>
      <c r="U12" s="37"/>
    </row>
    <row r="13">
      <c r="B13" s="37"/>
      <c r="U13" s="37"/>
    </row>
    <row r="14">
      <c r="B14" s="37"/>
      <c r="U14" s="37"/>
    </row>
    <row r="15">
      <c r="B15" s="37"/>
      <c r="U15" s="37"/>
    </row>
    <row r="16">
      <c r="B16" s="37"/>
      <c r="U16" s="37"/>
    </row>
    <row r="17">
      <c r="B17" s="37"/>
      <c r="U17" s="37"/>
    </row>
    <row r="18">
      <c r="B18" s="37"/>
      <c r="U18" s="37"/>
    </row>
    <row r="19">
      <c r="B19" s="37"/>
      <c r="U19" s="37"/>
    </row>
    <row r="20">
      <c r="B20" s="37"/>
      <c r="U20" s="37"/>
    </row>
    <row r="21">
      <c r="B21" s="37"/>
      <c r="U21" s="37"/>
    </row>
    <row r="22">
      <c r="B22" s="37"/>
      <c r="U22" s="37"/>
    </row>
    <row r="23">
      <c r="B23" s="37"/>
      <c r="U23" s="37"/>
    </row>
    <row r="24">
      <c r="B24" s="37"/>
      <c r="U24" s="37"/>
    </row>
    <row r="25">
      <c r="B25" s="37"/>
      <c r="U25" s="37"/>
    </row>
    <row r="26">
      <c r="B26" s="37"/>
      <c r="U26" s="37"/>
    </row>
    <row r="27">
      <c r="B27" s="37"/>
      <c r="U27" s="37"/>
    </row>
    <row r="28">
      <c r="B28" s="37"/>
      <c r="U28" s="37"/>
    </row>
    <row r="29">
      <c r="B29" s="37"/>
      <c r="U29" s="37"/>
    </row>
    <row r="30">
      <c r="B30" s="37"/>
      <c r="U30" s="37"/>
    </row>
    <row r="31">
      <c r="B31" s="37"/>
      <c r="U31" s="37"/>
    </row>
    <row r="32">
      <c r="B32" s="37"/>
      <c r="U32" s="37"/>
    </row>
    <row r="33">
      <c r="B33" s="37"/>
      <c r="U33" s="37"/>
    </row>
    <row r="34">
      <c r="B34" s="37"/>
      <c r="U34" s="37"/>
    </row>
    <row r="35">
      <c r="B35" s="37"/>
      <c r="U35" s="37"/>
    </row>
    <row r="36">
      <c r="B36" s="37"/>
      <c r="U36" s="37"/>
    </row>
    <row r="37">
      <c r="B37" s="37"/>
      <c r="U37" s="37"/>
    </row>
    <row r="38">
      <c r="B38" s="37"/>
      <c r="U38" s="37"/>
    </row>
    <row r="39">
      <c r="B39" s="37"/>
      <c r="U39" s="37"/>
    </row>
    <row r="40">
      <c r="B40" s="37"/>
      <c r="U40" s="37"/>
    </row>
    <row r="41">
      <c r="B41" s="37"/>
      <c r="U41" s="37"/>
    </row>
    <row r="42">
      <c r="B42" s="37"/>
      <c r="U42" s="37"/>
    </row>
    <row r="43">
      <c r="B43" s="37"/>
      <c r="U43" s="37"/>
    </row>
    <row r="44">
      <c r="B44" s="37"/>
      <c r="U44" s="37"/>
    </row>
    <row r="45">
      <c r="B45" s="37"/>
      <c r="U45" s="37"/>
    </row>
    <row r="46">
      <c r="B46" s="37"/>
      <c r="U46" s="37"/>
    </row>
    <row r="47">
      <c r="B47" s="37"/>
      <c r="U47" s="37"/>
    </row>
    <row r="48">
      <c r="B48" s="37"/>
      <c r="U48" s="37"/>
    </row>
    <row r="49">
      <c r="B49" s="37"/>
      <c r="U49" s="37"/>
    </row>
    <row r="50">
      <c r="B50" s="37"/>
      <c r="U50" s="37"/>
    </row>
    <row r="51">
      <c r="B51" s="37"/>
      <c r="U51" s="37"/>
    </row>
    <row r="52">
      <c r="B52" s="37"/>
      <c r="U52" s="37"/>
    </row>
    <row r="53">
      <c r="B53" s="37"/>
      <c r="U53" s="37"/>
    </row>
    <row r="54">
      <c r="B54" s="37"/>
      <c r="U54" s="37"/>
    </row>
    <row r="55">
      <c r="B55" s="37"/>
      <c r="U55" s="37"/>
    </row>
    <row r="56">
      <c r="B56" s="37"/>
      <c r="U56" s="37"/>
    </row>
    <row r="57">
      <c r="B57" s="37"/>
      <c r="U57" s="37"/>
    </row>
    <row r="58">
      <c r="B58" s="37"/>
      <c r="U58" s="37"/>
    </row>
    <row r="59">
      <c r="B59" s="37"/>
      <c r="U59" s="37"/>
    </row>
    <row r="60">
      <c r="B60" s="37"/>
      <c r="U60" s="37"/>
    </row>
    <row r="61">
      <c r="B61" s="37"/>
      <c r="U61" s="37"/>
    </row>
    <row r="62">
      <c r="B62" s="37"/>
      <c r="U62" s="37"/>
    </row>
    <row r="63">
      <c r="B63" s="37"/>
      <c r="U63" s="37"/>
    </row>
    <row r="64">
      <c r="B64" s="37"/>
      <c r="U64" s="37"/>
    </row>
    <row r="65">
      <c r="B65" s="37"/>
      <c r="U65" s="37"/>
    </row>
    <row r="66">
      <c r="B66" s="37"/>
      <c r="U66" s="37"/>
    </row>
    <row r="67">
      <c r="B67" s="37"/>
      <c r="U67" s="37"/>
    </row>
    <row r="68">
      <c r="B68" s="37"/>
      <c r="U68" s="37"/>
    </row>
    <row r="69">
      <c r="B69" s="37"/>
      <c r="U69" s="37"/>
    </row>
    <row r="70">
      <c r="B70" s="37"/>
      <c r="U70" s="37"/>
    </row>
    <row r="71">
      <c r="B71" s="37"/>
      <c r="U71" s="37"/>
    </row>
    <row r="72">
      <c r="B72" s="37"/>
      <c r="U72" s="37"/>
    </row>
    <row r="73">
      <c r="B73" s="37"/>
      <c r="U73" s="37"/>
    </row>
    <row r="74">
      <c r="B74" s="37"/>
      <c r="U74" s="37"/>
    </row>
    <row r="75">
      <c r="B75" s="37"/>
      <c r="U75" s="37"/>
    </row>
    <row r="76">
      <c r="B76" s="37"/>
      <c r="U76" s="37"/>
    </row>
    <row r="77">
      <c r="B77" s="37"/>
      <c r="U77" s="37"/>
    </row>
    <row r="78">
      <c r="B78" s="37"/>
      <c r="U78" s="37"/>
    </row>
    <row r="79">
      <c r="B79" s="37"/>
      <c r="U79" s="37"/>
    </row>
    <row r="80">
      <c r="B80" s="37"/>
      <c r="U80" s="37"/>
    </row>
    <row r="81">
      <c r="B81" s="37"/>
      <c r="U81" s="37"/>
    </row>
    <row r="82">
      <c r="B82" s="37"/>
      <c r="U82" s="37"/>
    </row>
    <row r="83">
      <c r="B83" s="37"/>
      <c r="U83" s="37"/>
    </row>
    <row r="84">
      <c r="B84" s="37"/>
      <c r="U84" s="37"/>
    </row>
    <row r="85">
      <c r="B85" s="37"/>
      <c r="U85" s="37"/>
    </row>
    <row r="86">
      <c r="B86" s="37"/>
      <c r="U86" s="37"/>
    </row>
    <row r="87">
      <c r="B87" s="37"/>
      <c r="U87" s="37"/>
    </row>
    <row r="88">
      <c r="B88" s="37"/>
      <c r="U88" s="37"/>
    </row>
    <row r="89">
      <c r="B89" s="37"/>
      <c r="U89" s="37"/>
    </row>
    <row r="90">
      <c r="B90" s="37"/>
      <c r="U90" s="37"/>
    </row>
    <row r="91">
      <c r="B91" s="37"/>
      <c r="U91" s="37"/>
    </row>
    <row r="92">
      <c r="B92" s="37"/>
      <c r="U92" s="37"/>
    </row>
    <row r="93">
      <c r="B93" s="37"/>
      <c r="U93" s="37"/>
    </row>
    <row r="94">
      <c r="B94" s="37"/>
      <c r="U94" s="37"/>
    </row>
    <row r="95">
      <c r="B95" s="37"/>
      <c r="U95" s="37"/>
    </row>
    <row r="96">
      <c r="B96" s="37"/>
      <c r="U96" s="37"/>
    </row>
    <row r="97">
      <c r="B97" s="37"/>
      <c r="U97" s="37"/>
    </row>
    <row r="98">
      <c r="B98" s="37"/>
      <c r="U98" s="37"/>
    </row>
    <row r="99">
      <c r="B99" s="37"/>
      <c r="U99" s="37"/>
    </row>
    <row r="100">
      <c r="B100" s="37"/>
      <c r="U100" s="37"/>
    </row>
    <row r="101">
      <c r="B101" s="37"/>
      <c r="U101" s="37"/>
    </row>
    <row r="102">
      <c r="B102" s="37"/>
      <c r="U102" s="37"/>
    </row>
    <row r="103">
      <c r="B103" s="37"/>
      <c r="U103" s="37"/>
    </row>
    <row r="104">
      <c r="B104" s="37"/>
      <c r="U104" s="37"/>
    </row>
    <row r="105">
      <c r="B105" s="37"/>
      <c r="U105" s="37"/>
    </row>
    <row r="106">
      <c r="B106" s="37"/>
      <c r="U106" s="37"/>
    </row>
    <row r="107">
      <c r="B107" s="37"/>
      <c r="U107" s="37"/>
    </row>
    <row r="108">
      <c r="B108" s="37"/>
      <c r="U108" s="37"/>
    </row>
    <row r="109">
      <c r="B109" s="37"/>
      <c r="U109" s="37"/>
    </row>
    <row r="110">
      <c r="B110" s="37"/>
      <c r="U110" s="37"/>
    </row>
    <row r="111">
      <c r="B111" s="37"/>
      <c r="U111" s="37"/>
    </row>
    <row r="112">
      <c r="B112" s="37"/>
      <c r="U112" s="37"/>
    </row>
    <row r="113">
      <c r="B113" s="37"/>
      <c r="U113" s="37"/>
    </row>
    <row r="114">
      <c r="B114" s="37"/>
      <c r="U114" s="37"/>
    </row>
    <row r="115">
      <c r="B115" s="37"/>
      <c r="U115" s="37"/>
    </row>
    <row r="116">
      <c r="B116" s="37"/>
      <c r="U116" s="37"/>
    </row>
    <row r="117">
      <c r="B117" s="37"/>
      <c r="U117" s="37"/>
    </row>
    <row r="118">
      <c r="B118" s="37"/>
      <c r="U118" s="37"/>
    </row>
    <row r="119">
      <c r="B119" s="37"/>
      <c r="U119" s="37"/>
    </row>
    <row r="120">
      <c r="B120" s="37"/>
      <c r="U120" s="37"/>
    </row>
    <row r="121">
      <c r="B121" s="37"/>
      <c r="U121" s="37"/>
    </row>
    <row r="122">
      <c r="B122" s="37"/>
      <c r="U122" s="37"/>
    </row>
    <row r="123">
      <c r="B123" s="37"/>
      <c r="U123" s="37"/>
    </row>
    <row r="124">
      <c r="B124" s="37"/>
      <c r="U124" s="37"/>
    </row>
    <row r="125">
      <c r="B125" s="37"/>
      <c r="U125" s="37"/>
    </row>
    <row r="126">
      <c r="B126" s="37"/>
      <c r="U126" s="37"/>
    </row>
    <row r="127">
      <c r="B127" s="37"/>
      <c r="U127" s="37"/>
    </row>
    <row r="128">
      <c r="B128" s="37"/>
      <c r="U128" s="37"/>
    </row>
    <row r="129">
      <c r="B129" s="37"/>
      <c r="U129" s="37"/>
    </row>
    <row r="130">
      <c r="B130" s="37"/>
      <c r="U130" s="37"/>
    </row>
    <row r="131">
      <c r="B131" s="37"/>
      <c r="U131" s="37"/>
    </row>
    <row r="132">
      <c r="B132" s="37"/>
      <c r="U132" s="37"/>
    </row>
    <row r="133">
      <c r="B133" s="37"/>
      <c r="U133" s="37"/>
    </row>
    <row r="134">
      <c r="B134" s="37"/>
      <c r="U134" s="37"/>
    </row>
    <row r="135">
      <c r="B135" s="37"/>
      <c r="U135" s="37"/>
    </row>
    <row r="136">
      <c r="B136" s="37"/>
      <c r="U136" s="37"/>
    </row>
    <row r="137">
      <c r="B137" s="37"/>
      <c r="U137" s="37"/>
    </row>
    <row r="138">
      <c r="B138" s="37"/>
      <c r="U138" s="37"/>
    </row>
    <row r="139">
      <c r="B139" s="37"/>
      <c r="U139" s="37"/>
    </row>
    <row r="140">
      <c r="B140" s="37"/>
      <c r="U140" s="37"/>
    </row>
    <row r="141">
      <c r="B141" s="37"/>
      <c r="U141" s="37"/>
    </row>
    <row r="142">
      <c r="B142" s="37"/>
      <c r="U142" s="37"/>
    </row>
    <row r="143">
      <c r="B143" s="37"/>
      <c r="U143" s="37"/>
    </row>
    <row r="144">
      <c r="B144" s="37"/>
      <c r="U144" s="37"/>
    </row>
    <row r="145">
      <c r="B145" s="37"/>
      <c r="U145" s="37"/>
    </row>
    <row r="146">
      <c r="B146" s="37"/>
      <c r="U146" s="37"/>
    </row>
    <row r="147">
      <c r="B147" s="37"/>
      <c r="U147" s="37"/>
    </row>
    <row r="148">
      <c r="B148" s="37"/>
      <c r="U148" s="37"/>
    </row>
    <row r="149">
      <c r="B149" s="37"/>
      <c r="U149" s="37"/>
    </row>
    <row r="150">
      <c r="B150" s="37"/>
      <c r="U150" s="37"/>
    </row>
    <row r="151">
      <c r="B151" s="37"/>
      <c r="U151" s="37"/>
    </row>
    <row r="152">
      <c r="B152" s="37"/>
      <c r="U152" s="37"/>
    </row>
    <row r="153">
      <c r="B153" s="37"/>
      <c r="U153" s="37"/>
    </row>
    <row r="154">
      <c r="B154" s="37"/>
      <c r="U154" s="37"/>
    </row>
    <row r="155">
      <c r="B155" s="37"/>
      <c r="U155" s="37"/>
    </row>
    <row r="156">
      <c r="B156" s="37"/>
      <c r="U156" s="37"/>
    </row>
    <row r="157">
      <c r="B157" s="37"/>
      <c r="U157" s="37"/>
    </row>
    <row r="158">
      <c r="B158" s="37"/>
      <c r="U158" s="37"/>
    </row>
    <row r="159">
      <c r="B159" s="37"/>
      <c r="U159" s="37"/>
    </row>
    <row r="160">
      <c r="B160" s="37"/>
      <c r="U160" s="37"/>
    </row>
    <row r="161">
      <c r="B161" s="37"/>
      <c r="U161" s="37"/>
    </row>
    <row r="162">
      <c r="B162" s="37"/>
      <c r="U162" s="37"/>
    </row>
    <row r="163">
      <c r="B163" s="37"/>
      <c r="U163" s="37"/>
    </row>
    <row r="164">
      <c r="B164" s="37"/>
      <c r="U164" s="37"/>
    </row>
    <row r="165">
      <c r="B165" s="37"/>
      <c r="U165" s="37"/>
    </row>
    <row r="166">
      <c r="B166" s="37"/>
      <c r="U166" s="37"/>
    </row>
    <row r="167">
      <c r="B167" s="37"/>
      <c r="U167" s="37"/>
    </row>
    <row r="168">
      <c r="B168" s="37"/>
      <c r="U168" s="37"/>
    </row>
    <row r="169">
      <c r="B169" s="37"/>
      <c r="U169" s="37"/>
    </row>
    <row r="170">
      <c r="B170" s="37"/>
      <c r="U170" s="37"/>
    </row>
    <row r="171">
      <c r="B171" s="37"/>
      <c r="U171" s="37"/>
    </row>
    <row r="172">
      <c r="B172" s="37"/>
      <c r="U172" s="37"/>
    </row>
    <row r="173">
      <c r="B173" s="37"/>
      <c r="U173" s="37"/>
    </row>
    <row r="174">
      <c r="B174" s="37"/>
      <c r="U174" s="37"/>
    </row>
    <row r="175">
      <c r="B175" s="37"/>
      <c r="U175" s="37"/>
    </row>
    <row r="176">
      <c r="B176" s="37"/>
      <c r="U176" s="37"/>
    </row>
    <row r="177">
      <c r="B177" s="37"/>
      <c r="U177" s="37"/>
    </row>
    <row r="178">
      <c r="B178" s="37"/>
      <c r="U178" s="37"/>
    </row>
    <row r="179">
      <c r="B179" s="37"/>
      <c r="U179" s="37"/>
    </row>
    <row r="180">
      <c r="B180" s="37"/>
      <c r="U180" s="37"/>
    </row>
    <row r="181">
      <c r="B181" s="37"/>
      <c r="U181" s="37"/>
    </row>
    <row r="182">
      <c r="B182" s="37"/>
      <c r="U182" s="37"/>
    </row>
    <row r="183">
      <c r="B183" s="37"/>
      <c r="U183" s="37"/>
    </row>
    <row r="184">
      <c r="B184" s="37"/>
      <c r="U184" s="37"/>
    </row>
    <row r="185">
      <c r="B185" s="37"/>
      <c r="U185" s="37"/>
    </row>
    <row r="186">
      <c r="B186" s="37"/>
      <c r="U186" s="37"/>
    </row>
    <row r="187">
      <c r="B187" s="37"/>
      <c r="U187" s="37"/>
    </row>
    <row r="188">
      <c r="B188" s="37"/>
      <c r="U188" s="37"/>
    </row>
    <row r="189">
      <c r="B189" s="37"/>
      <c r="U189" s="37"/>
    </row>
    <row r="190">
      <c r="B190" s="37"/>
      <c r="U190" s="37"/>
    </row>
    <row r="191">
      <c r="B191" s="37"/>
      <c r="U191" s="37"/>
    </row>
    <row r="192">
      <c r="B192" s="37"/>
      <c r="U192" s="37"/>
    </row>
    <row r="193">
      <c r="B193" s="37"/>
      <c r="U193" s="37"/>
    </row>
    <row r="194">
      <c r="B194" s="37"/>
      <c r="U194" s="37"/>
    </row>
    <row r="195">
      <c r="B195" s="37"/>
      <c r="U195" s="37"/>
    </row>
    <row r="196">
      <c r="B196" s="37"/>
      <c r="U196" s="37"/>
    </row>
    <row r="197">
      <c r="B197" s="37"/>
      <c r="U197" s="37"/>
    </row>
    <row r="198">
      <c r="B198" s="37"/>
      <c r="U198" s="37"/>
    </row>
    <row r="199">
      <c r="B199" s="37"/>
      <c r="U199" s="37"/>
    </row>
    <row r="200">
      <c r="B200" s="37"/>
      <c r="U200" s="37"/>
    </row>
    <row r="201">
      <c r="B201" s="37"/>
      <c r="U201" s="37"/>
    </row>
    <row r="202">
      <c r="B202" s="37"/>
      <c r="U202" s="37"/>
    </row>
    <row r="203">
      <c r="B203" s="37"/>
      <c r="U203" s="37"/>
    </row>
    <row r="204">
      <c r="B204" s="37"/>
      <c r="U204" s="37"/>
    </row>
    <row r="205">
      <c r="B205" s="37"/>
      <c r="U205" s="37"/>
    </row>
    <row r="206">
      <c r="B206" s="37"/>
      <c r="U206" s="37"/>
    </row>
    <row r="207">
      <c r="B207" s="37"/>
      <c r="U207" s="37"/>
    </row>
    <row r="208">
      <c r="B208" s="37"/>
      <c r="U208" s="37"/>
    </row>
    <row r="209">
      <c r="B209" s="37"/>
      <c r="U209" s="37"/>
    </row>
    <row r="210">
      <c r="B210" s="37"/>
      <c r="U210" s="37"/>
    </row>
    <row r="211">
      <c r="B211" s="37"/>
      <c r="U211" s="37"/>
    </row>
    <row r="212">
      <c r="B212" s="37"/>
      <c r="U212" s="37"/>
    </row>
    <row r="213">
      <c r="B213" s="37"/>
      <c r="U213" s="37"/>
    </row>
    <row r="214">
      <c r="B214" s="37"/>
      <c r="U214" s="37"/>
    </row>
    <row r="215">
      <c r="B215" s="37"/>
      <c r="U215" s="37"/>
    </row>
    <row r="216">
      <c r="B216" s="37"/>
      <c r="U216" s="37"/>
    </row>
    <row r="217">
      <c r="B217" s="37"/>
      <c r="U217" s="37"/>
    </row>
    <row r="218">
      <c r="B218" s="37"/>
      <c r="U218" s="37"/>
    </row>
    <row r="219">
      <c r="B219" s="37"/>
      <c r="U219" s="37"/>
    </row>
    <row r="220">
      <c r="B220" s="37"/>
      <c r="U220" s="37"/>
    </row>
    <row r="221">
      <c r="B221" s="37"/>
      <c r="U221" s="37"/>
    </row>
    <row r="222">
      <c r="B222" s="37"/>
      <c r="U222" s="37"/>
    </row>
    <row r="223">
      <c r="B223" s="37"/>
      <c r="U223" s="37"/>
    </row>
    <row r="224">
      <c r="B224" s="37"/>
      <c r="U224" s="37"/>
    </row>
    <row r="225">
      <c r="B225" s="37"/>
      <c r="U225" s="37"/>
    </row>
    <row r="226">
      <c r="B226" s="37"/>
      <c r="U226" s="37"/>
    </row>
    <row r="227">
      <c r="B227" s="37"/>
      <c r="U227" s="37"/>
    </row>
    <row r="228">
      <c r="B228" s="37"/>
      <c r="U228" s="37"/>
    </row>
    <row r="229">
      <c r="B229" s="37"/>
      <c r="U229" s="37"/>
    </row>
    <row r="230">
      <c r="B230" s="37"/>
      <c r="U230" s="37"/>
    </row>
    <row r="231">
      <c r="B231" s="37"/>
      <c r="U231" s="37"/>
    </row>
    <row r="232">
      <c r="B232" s="37"/>
      <c r="U232" s="37"/>
    </row>
    <row r="233">
      <c r="B233" s="37"/>
      <c r="U233" s="37"/>
    </row>
    <row r="234">
      <c r="B234" s="37"/>
      <c r="U234" s="37"/>
    </row>
    <row r="235">
      <c r="B235" s="37"/>
      <c r="U235" s="37"/>
    </row>
    <row r="236">
      <c r="B236" s="37"/>
      <c r="U236" s="37"/>
    </row>
    <row r="237">
      <c r="B237" s="37"/>
      <c r="U237" s="37"/>
    </row>
    <row r="238">
      <c r="B238" s="37"/>
      <c r="U238" s="37"/>
    </row>
    <row r="239">
      <c r="B239" s="37"/>
      <c r="U239" s="37"/>
    </row>
    <row r="240">
      <c r="B240" s="37"/>
      <c r="U240" s="37"/>
    </row>
    <row r="241">
      <c r="B241" s="37"/>
      <c r="U241" s="37"/>
    </row>
    <row r="242">
      <c r="B242" s="37"/>
      <c r="U242" s="37"/>
    </row>
    <row r="243">
      <c r="B243" s="37"/>
      <c r="U243" s="37"/>
    </row>
    <row r="244">
      <c r="B244" s="37"/>
      <c r="U244" s="37"/>
    </row>
    <row r="245">
      <c r="B245" s="37"/>
      <c r="U245" s="37"/>
    </row>
    <row r="246">
      <c r="B246" s="37"/>
      <c r="U246" s="37"/>
    </row>
    <row r="247">
      <c r="B247" s="37"/>
      <c r="U247" s="37"/>
    </row>
    <row r="248">
      <c r="B248" s="37"/>
      <c r="U248" s="37"/>
    </row>
    <row r="249">
      <c r="B249" s="37"/>
      <c r="U249" s="37"/>
    </row>
    <row r="250">
      <c r="B250" s="37"/>
      <c r="U250" s="37"/>
    </row>
    <row r="251">
      <c r="B251" s="37"/>
      <c r="U251" s="37"/>
    </row>
    <row r="252">
      <c r="B252" s="37"/>
      <c r="U252" s="37"/>
    </row>
    <row r="253">
      <c r="B253" s="37"/>
      <c r="U253" s="37"/>
    </row>
    <row r="254">
      <c r="B254" s="37"/>
      <c r="U254" s="37"/>
    </row>
    <row r="255">
      <c r="B255" s="37"/>
      <c r="U255" s="37"/>
    </row>
    <row r="256">
      <c r="B256" s="37"/>
      <c r="U256" s="37"/>
    </row>
    <row r="257">
      <c r="B257" s="37"/>
      <c r="U257" s="37"/>
    </row>
    <row r="258">
      <c r="B258" s="37"/>
      <c r="U258" s="37"/>
    </row>
    <row r="259">
      <c r="B259" s="37"/>
      <c r="U259" s="37"/>
    </row>
    <row r="260">
      <c r="B260" s="37"/>
      <c r="U260" s="37"/>
    </row>
    <row r="261">
      <c r="B261" s="37"/>
      <c r="U261" s="37"/>
    </row>
    <row r="262">
      <c r="B262" s="37"/>
      <c r="U262" s="37"/>
    </row>
    <row r="263">
      <c r="B263" s="37"/>
      <c r="U263" s="37"/>
    </row>
    <row r="264">
      <c r="B264" s="37"/>
      <c r="U264" s="37"/>
    </row>
    <row r="265">
      <c r="B265" s="37"/>
      <c r="U265" s="37"/>
    </row>
    <row r="266">
      <c r="B266" s="37"/>
      <c r="U266" s="37"/>
    </row>
    <row r="267">
      <c r="B267" s="37"/>
      <c r="U267" s="37"/>
    </row>
    <row r="268">
      <c r="B268" s="37"/>
      <c r="U268" s="37"/>
    </row>
    <row r="269">
      <c r="B269" s="37"/>
      <c r="U269" s="37"/>
    </row>
    <row r="270">
      <c r="B270" s="37"/>
      <c r="U270" s="37"/>
    </row>
    <row r="271">
      <c r="B271" s="37"/>
      <c r="U271" s="37"/>
    </row>
    <row r="272">
      <c r="B272" s="37"/>
      <c r="U272" s="37"/>
    </row>
    <row r="273">
      <c r="B273" s="37"/>
      <c r="U273" s="37"/>
    </row>
    <row r="274">
      <c r="B274" s="37"/>
      <c r="U274" s="37"/>
    </row>
    <row r="275">
      <c r="B275" s="37"/>
      <c r="U275" s="37"/>
    </row>
    <row r="276">
      <c r="B276" s="37"/>
      <c r="U276" s="37"/>
    </row>
    <row r="277">
      <c r="B277" s="37"/>
      <c r="U277" s="37"/>
    </row>
    <row r="278">
      <c r="B278" s="37"/>
      <c r="U278" s="37"/>
    </row>
    <row r="279">
      <c r="B279" s="37"/>
      <c r="U279" s="37"/>
    </row>
    <row r="280">
      <c r="B280" s="37"/>
      <c r="U280" s="37"/>
    </row>
    <row r="281">
      <c r="B281" s="37"/>
      <c r="U281" s="37"/>
    </row>
    <row r="282">
      <c r="B282" s="37"/>
      <c r="U282" s="37"/>
    </row>
    <row r="283">
      <c r="B283" s="37"/>
      <c r="U283" s="37"/>
    </row>
    <row r="284">
      <c r="B284" s="37"/>
      <c r="U284" s="37"/>
    </row>
    <row r="285">
      <c r="B285" s="37"/>
      <c r="U285" s="37"/>
    </row>
    <row r="286">
      <c r="B286" s="37"/>
      <c r="U286" s="37"/>
    </row>
    <row r="287">
      <c r="B287" s="37"/>
      <c r="U287" s="37"/>
    </row>
    <row r="288">
      <c r="B288" s="37"/>
      <c r="U288" s="37"/>
    </row>
    <row r="289">
      <c r="B289" s="37"/>
      <c r="U289" s="37"/>
    </row>
    <row r="290">
      <c r="B290" s="37"/>
      <c r="U290" s="37"/>
    </row>
    <row r="291">
      <c r="B291" s="37"/>
      <c r="U291" s="37"/>
    </row>
    <row r="292">
      <c r="B292" s="37"/>
      <c r="U292" s="37"/>
    </row>
    <row r="293">
      <c r="B293" s="37"/>
      <c r="U293" s="37"/>
    </row>
    <row r="294">
      <c r="B294" s="37"/>
      <c r="U294" s="37"/>
    </row>
    <row r="295">
      <c r="B295" s="37"/>
      <c r="U295" s="37"/>
    </row>
    <row r="296">
      <c r="B296" s="37"/>
      <c r="U296" s="37"/>
    </row>
    <row r="297">
      <c r="B297" s="37"/>
      <c r="U297" s="37"/>
    </row>
    <row r="298">
      <c r="B298" s="37"/>
      <c r="U298" s="37"/>
    </row>
    <row r="299">
      <c r="B299" s="37"/>
      <c r="U299" s="37"/>
    </row>
    <row r="300">
      <c r="B300" s="37"/>
      <c r="U300" s="37"/>
    </row>
    <row r="301">
      <c r="B301" s="37"/>
      <c r="U301" s="37"/>
    </row>
    <row r="302">
      <c r="B302" s="37"/>
      <c r="U302" s="37"/>
    </row>
    <row r="303">
      <c r="B303" s="37"/>
      <c r="U303" s="37"/>
    </row>
    <row r="304">
      <c r="B304" s="37"/>
      <c r="U304" s="37"/>
    </row>
    <row r="305">
      <c r="B305" s="37"/>
      <c r="U305" s="37"/>
    </row>
    <row r="306">
      <c r="B306" s="37"/>
      <c r="U306" s="37"/>
    </row>
    <row r="307">
      <c r="B307" s="37"/>
      <c r="U307" s="37"/>
    </row>
    <row r="308">
      <c r="B308" s="37"/>
      <c r="U308" s="37"/>
    </row>
    <row r="309">
      <c r="B309" s="37"/>
      <c r="U309" s="37"/>
    </row>
    <row r="310">
      <c r="B310" s="37"/>
      <c r="U310" s="37"/>
    </row>
    <row r="311">
      <c r="B311" s="37"/>
      <c r="U311" s="37"/>
    </row>
    <row r="312">
      <c r="B312" s="37"/>
      <c r="U312" s="37"/>
    </row>
    <row r="313">
      <c r="B313" s="37"/>
      <c r="U313" s="37"/>
    </row>
    <row r="314">
      <c r="B314" s="37"/>
      <c r="U314" s="37"/>
    </row>
    <row r="315">
      <c r="B315" s="37"/>
      <c r="U315" s="37"/>
    </row>
    <row r="316">
      <c r="B316" s="37"/>
      <c r="U316" s="37"/>
    </row>
    <row r="317">
      <c r="B317" s="37"/>
      <c r="U317" s="37"/>
    </row>
    <row r="318">
      <c r="B318" s="37"/>
      <c r="U318" s="37"/>
    </row>
    <row r="319">
      <c r="B319" s="37"/>
      <c r="U319" s="37"/>
    </row>
    <row r="320">
      <c r="B320" s="37"/>
      <c r="U320" s="37"/>
    </row>
    <row r="321">
      <c r="B321" s="37"/>
      <c r="U321" s="37"/>
    </row>
    <row r="322">
      <c r="B322" s="37"/>
      <c r="U322" s="37"/>
    </row>
    <row r="323">
      <c r="B323" s="37"/>
      <c r="U323" s="37"/>
    </row>
    <row r="324">
      <c r="B324" s="37"/>
      <c r="U324" s="37"/>
    </row>
    <row r="325">
      <c r="B325" s="37"/>
      <c r="U325" s="37"/>
    </row>
    <row r="326">
      <c r="B326" s="37"/>
      <c r="U326" s="37"/>
    </row>
    <row r="327">
      <c r="B327" s="37"/>
      <c r="U327" s="37"/>
    </row>
    <row r="328">
      <c r="B328" s="37"/>
      <c r="U328" s="37"/>
    </row>
    <row r="329">
      <c r="B329" s="37"/>
      <c r="U329" s="37"/>
    </row>
    <row r="330">
      <c r="B330" s="37"/>
      <c r="U330" s="37"/>
    </row>
    <row r="331">
      <c r="B331" s="37"/>
      <c r="U331" s="37"/>
    </row>
    <row r="332">
      <c r="B332" s="37"/>
      <c r="U332" s="37"/>
    </row>
    <row r="333">
      <c r="B333" s="37"/>
      <c r="U333" s="37"/>
    </row>
    <row r="334">
      <c r="B334" s="37"/>
      <c r="U334" s="37"/>
    </row>
    <row r="335">
      <c r="B335" s="37"/>
      <c r="U335" s="37"/>
    </row>
    <row r="336">
      <c r="B336" s="37"/>
      <c r="U336" s="37"/>
    </row>
    <row r="337">
      <c r="B337" s="37"/>
      <c r="U337" s="37"/>
    </row>
    <row r="338">
      <c r="B338" s="37"/>
      <c r="U338" s="37"/>
    </row>
    <row r="339">
      <c r="B339" s="37"/>
      <c r="U339" s="37"/>
    </row>
    <row r="340">
      <c r="B340" s="37"/>
      <c r="U340" s="37"/>
    </row>
    <row r="341">
      <c r="B341" s="37"/>
      <c r="U341" s="37"/>
    </row>
    <row r="342">
      <c r="B342" s="37"/>
      <c r="U342" s="37"/>
    </row>
    <row r="343">
      <c r="B343" s="37"/>
      <c r="U343" s="37"/>
    </row>
    <row r="344">
      <c r="B344" s="37"/>
      <c r="U344" s="37"/>
    </row>
    <row r="345">
      <c r="B345" s="37"/>
      <c r="U345" s="37"/>
    </row>
    <row r="346">
      <c r="B346" s="37"/>
      <c r="U346" s="37"/>
    </row>
    <row r="347">
      <c r="B347" s="37"/>
      <c r="U347" s="37"/>
    </row>
    <row r="348">
      <c r="B348" s="37"/>
      <c r="U348" s="37"/>
    </row>
    <row r="349">
      <c r="B349" s="37"/>
      <c r="U349" s="37"/>
    </row>
    <row r="350">
      <c r="B350" s="37"/>
      <c r="U350" s="37"/>
    </row>
    <row r="351">
      <c r="B351" s="37"/>
      <c r="U351" s="37"/>
    </row>
    <row r="352">
      <c r="B352" s="37"/>
      <c r="U352" s="37"/>
    </row>
    <row r="353">
      <c r="B353" s="37"/>
      <c r="U353" s="37"/>
    </row>
    <row r="354">
      <c r="B354" s="37"/>
      <c r="U354" s="37"/>
    </row>
    <row r="355">
      <c r="B355" s="37"/>
      <c r="U355" s="37"/>
    </row>
    <row r="356">
      <c r="B356" s="37"/>
      <c r="U356" s="37"/>
    </row>
    <row r="357">
      <c r="B357" s="37"/>
      <c r="U357" s="37"/>
    </row>
    <row r="358">
      <c r="B358" s="37"/>
      <c r="U358" s="37"/>
    </row>
    <row r="359">
      <c r="B359" s="37"/>
      <c r="U359" s="37"/>
    </row>
    <row r="360">
      <c r="B360" s="37"/>
      <c r="U360" s="37"/>
    </row>
    <row r="361">
      <c r="B361" s="37"/>
      <c r="U361" s="37"/>
    </row>
    <row r="362">
      <c r="B362" s="37"/>
      <c r="U362" s="37"/>
    </row>
    <row r="363">
      <c r="B363" s="37"/>
      <c r="U363" s="37"/>
    </row>
    <row r="364">
      <c r="B364" s="37"/>
      <c r="U364" s="37"/>
    </row>
    <row r="365">
      <c r="B365" s="37"/>
      <c r="U365" s="37"/>
    </row>
    <row r="366">
      <c r="B366" s="37"/>
      <c r="U366" s="37"/>
    </row>
    <row r="367">
      <c r="B367" s="37"/>
      <c r="U367" s="37"/>
    </row>
    <row r="368">
      <c r="B368" s="37"/>
      <c r="U368" s="37"/>
    </row>
    <row r="369">
      <c r="B369" s="37"/>
      <c r="U369" s="37"/>
    </row>
    <row r="370">
      <c r="B370" s="37"/>
      <c r="U370" s="37"/>
    </row>
    <row r="371">
      <c r="B371" s="37"/>
      <c r="U371" s="37"/>
    </row>
    <row r="372">
      <c r="B372" s="37"/>
      <c r="U372" s="37"/>
    </row>
    <row r="373">
      <c r="B373" s="37"/>
      <c r="U373" s="37"/>
    </row>
    <row r="374">
      <c r="B374" s="37"/>
      <c r="U374" s="37"/>
    </row>
    <row r="375">
      <c r="B375" s="37"/>
      <c r="U375" s="37"/>
    </row>
    <row r="376">
      <c r="B376" s="37"/>
      <c r="U376" s="37"/>
    </row>
    <row r="377">
      <c r="B377" s="37"/>
      <c r="U377" s="37"/>
    </row>
    <row r="378">
      <c r="B378" s="37"/>
      <c r="U378" s="37"/>
    </row>
    <row r="379">
      <c r="B379" s="37"/>
      <c r="U379" s="37"/>
    </row>
    <row r="380">
      <c r="B380" s="37"/>
      <c r="U380" s="37"/>
    </row>
    <row r="381">
      <c r="B381" s="37"/>
      <c r="U381" s="37"/>
    </row>
    <row r="382">
      <c r="B382" s="37"/>
      <c r="U382" s="37"/>
    </row>
    <row r="383">
      <c r="B383" s="37"/>
      <c r="U383" s="37"/>
    </row>
    <row r="384">
      <c r="B384" s="37"/>
      <c r="U384" s="37"/>
    </row>
    <row r="385">
      <c r="B385" s="37"/>
      <c r="U385" s="37"/>
    </row>
    <row r="386">
      <c r="B386" s="37"/>
      <c r="U386" s="37"/>
    </row>
    <row r="387">
      <c r="B387" s="37"/>
      <c r="U387" s="37"/>
    </row>
    <row r="388">
      <c r="B388" s="37"/>
      <c r="U388" s="37"/>
    </row>
    <row r="389">
      <c r="B389" s="37"/>
      <c r="U389" s="37"/>
    </row>
    <row r="390">
      <c r="B390" s="37"/>
      <c r="U390" s="37"/>
    </row>
    <row r="391">
      <c r="B391" s="37"/>
      <c r="U391" s="37"/>
    </row>
    <row r="392">
      <c r="B392" s="37"/>
      <c r="U392" s="37"/>
    </row>
    <row r="393">
      <c r="B393" s="37"/>
      <c r="U393" s="37"/>
    </row>
    <row r="394">
      <c r="B394" s="37"/>
      <c r="U394" s="37"/>
    </row>
    <row r="395">
      <c r="B395" s="37"/>
      <c r="U395" s="37"/>
    </row>
    <row r="396">
      <c r="B396" s="37"/>
      <c r="U396" s="37"/>
    </row>
    <row r="397">
      <c r="B397" s="37"/>
      <c r="U397" s="37"/>
    </row>
    <row r="398">
      <c r="B398" s="37"/>
      <c r="U398" s="37"/>
    </row>
    <row r="399">
      <c r="B399" s="37"/>
      <c r="U399" s="37"/>
    </row>
    <row r="400">
      <c r="B400" s="37"/>
      <c r="U400" s="37"/>
    </row>
    <row r="401">
      <c r="B401" s="37"/>
      <c r="U401" s="37"/>
    </row>
    <row r="402">
      <c r="B402" s="37"/>
      <c r="U402" s="37"/>
    </row>
    <row r="403">
      <c r="B403" s="37"/>
      <c r="U403" s="37"/>
    </row>
    <row r="404">
      <c r="B404" s="37"/>
      <c r="U404" s="37"/>
    </row>
    <row r="405">
      <c r="B405" s="37"/>
      <c r="U405" s="37"/>
    </row>
    <row r="406">
      <c r="B406" s="37"/>
      <c r="U406" s="37"/>
    </row>
    <row r="407">
      <c r="B407" s="37"/>
      <c r="U407" s="37"/>
    </row>
    <row r="408">
      <c r="B408" s="37"/>
      <c r="U408" s="37"/>
    </row>
    <row r="409">
      <c r="B409" s="37"/>
      <c r="U409" s="37"/>
    </row>
    <row r="410">
      <c r="B410" s="37"/>
      <c r="U410" s="37"/>
    </row>
    <row r="411">
      <c r="B411" s="37"/>
      <c r="U411" s="37"/>
    </row>
    <row r="412">
      <c r="B412" s="37"/>
      <c r="U412" s="37"/>
    </row>
    <row r="413">
      <c r="B413" s="37"/>
      <c r="U413" s="37"/>
    </row>
    <row r="414">
      <c r="B414" s="37"/>
      <c r="U414" s="37"/>
    </row>
    <row r="415">
      <c r="B415" s="37"/>
      <c r="U415" s="37"/>
    </row>
    <row r="416">
      <c r="B416" s="37"/>
      <c r="U416" s="37"/>
    </row>
    <row r="417">
      <c r="B417" s="37"/>
      <c r="U417" s="37"/>
    </row>
    <row r="418">
      <c r="B418" s="37"/>
      <c r="U418" s="37"/>
    </row>
    <row r="419">
      <c r="B419" s="37"/>
      <c r="U419" s="37"/>
    </row>
    <row r="420">
      <c r="B420" s="37"/>
      <c r="U420" s="37"/>
    </row>
    <row r="421">
      <c r="B421" s="37"/>
      <c r="U421" s="37"/>
    </row>
    <row r="422">
      <c r="B422" s="37"/>
      <c r="U422" s="37"/>
    </row>
    <row r="423">
      <c r="B423" s="37"/>
      <c r="U423" s="37"/>
    </row>
    <row r="424">
      <c r="B424" s="37"/>
      <c r="U424" s="37"/>
    </row>
    <row r="425">
      <c r="B425" s="37"/>
      <c r="U425" s="37"/>
    </row>
    <row r="426">
      <c r="B426" s="37"/>
      <c r="U426" s="37"/>
    </row>
    <row r="427">
      <c r="B427" s="37"/>
      <c r="U427" s="37"/>
    </row>
    <row r="428">
      <c r="B428" s="37"/>
      <c r="U428" s="37"/>
    </row>
    <row r="429">
      <c r="B429" s="37"/>
      <c r="U429" s="37"/>
    </row>
    <row r="430">
      <c r="B430" s="37"/>
      <c r="U430" s="37"/>
    </row>
    <row r="431">
      <c r="B431" s="37"/>
      <c r="U431" s="37"/>
    </row>
    <row r="432">
      <c r="B432" s="37"/>
      <c r="U432" s="37"/>
    </row>
    <row r="433">
      <c r="B433" s="37"/>
      <c r="U433" s="37"/>
    </row>
    <row r="434">
      <c r="B434" s="37"/>
      <c r="U434" s="37"/>
    </row>
    <row r="435">
      <c r="B435" s="37"/>
      <c r="U435" s="37"/>
    </row>
    <row r="436">
      <c r="B436" s="37"/>
      <c r="U436" s="37"/>
    </row>
    <row r="437">
      <c r="B437" s="37"/>
      <c r="U437" s="37"/>
    </row>
    <row r="438">
      <c r="B438" s="37"/>
      <c r="U438" s="37"/>
    </row>
    <row r="439">
      <c r="B439" s="37"/>
      <c r="U439" s="37"/>
    </row>
    <row r="440">
      <c r="B440" s="37"/>
      <c r="U440" s="37"/>
    </row>
    <row r="441">
      <c r="B441" s="37"/>
      <c r="U441" s="37"/>
    </row>
    <row r="442">
      <c r="B442" s="37"/>
      <c r="U442" s="37"/>
    </row>
    <row r="443">
      <c r="B443" s="37"/>
      <c r="U443" s="37"/>
    </row>
    <row r="444">
      <c r="B444" s="37"/>
      <c r="U444" s="37"/>
    </row>
    <row r="445">
      <c r="B445" s="37"/>
      <c r="U445" s="37"/>
    </row>
    <row r="446">
      <c r="B446" s="37"/>
      <c r="U446" s="37"/>
    </row>
    <row r="447">
      <c r="B447" s="37"/>
      <c r="U447" s="37"/>
    </row>
    <row r="448">
      <c r="B448" s="37"/>
      <c r="U448" s="37"/>
    </row>
    <row r="449">
      <c r="B449" s="37"/>
      <c r="U449" s="37"/>
    </row>
    <row r="450">
      <c r="B450" s="37"/>
      <c r="U450" s="37"/>
    </row>
    <row r="451">
      <c r="B451" s="37"/>
      <c r="U451" s="37"/>
    </row>
    <row r="452">
      <c r="B452" s="37"/>
      <c r="U452" s="37"/>
    </row>
    <row r="453">
      <c r="B453" s="37"/>
      <c r="U453" s="37"/>
    </row>
    <row r="454">
      <c r="B454" s="37"/>
      <c r="U454" s="37"/>
    </row>
    <row r="455">
      <c r="B455" s="37"/>
      <c r="U455" s="37"/>
    </row>
    <row r="456">
      <c r="B456" s="37"/>
      <c r="U456" s="37"/>
    </row>
    <row r="457">
      <c r="B457" s="37"/>
      <c r="U457" s="37"/>
    </row>
    <row r="458">
      <c r="B458" s="37"/>
      <c r="U458" s="37"/>
    </row>
    <row r="459">
      <c r="B459" s="37"/>
      <c r="U459" s="37"/>
    </row>
    <row r="460">
      <c r="B460" s="37"/>
      <c r="U460" s="37"/>
    </row>
    <row r="461">
      <c r="B461" s="37"/>
      <c r="U461" s="37"/>
    </row>
    <row r="462">
      <c r="B462" s="37"/>
      <c r="U462" s="37"/>
    </row>
    <row r="463">
      <c r="B463" s="37"/>
      <c r="U463" s="37"/>
    </row>
    <row r="464">
      <c r="B464" s="37"/>
      <c r="U464" s="37"/>
    </row>
    <row r="465">
      <c r="B465" s="37"/>
      <c r="U465" s="37"/>
    </row>
    <row r="466">
      <c r="B466" s="37"/>
      <c r="U466" s="37"/>
    </row>
    <row r="467">
      <c r="B467" s="37"/>
      <c r="U467" s="37"/>
    </row>
    <row r="468">
      <c r="B468" s="37"/>
      <c r="U468" s="37"/>
    </row>
    <row r="469">
      <c r="B469" s="37"/>
      <c r="U469" s="37"/>
    </row>
    <row r="470">
      <c r="B470" s="37"/>
      <c r="U470" s="37"/>
    </row>
    <row r="471">
      <c r="B471" s="37"/>
      <c r="U471" s="37"/>
    </row>
    <row r="472">
      <c r="B472" s="37"/>
      <c r="U472" s="37"/>
    </row>
    <row r="473">
      <c r="B473" s="37"/>
      <c r="U473" s="37"/>
    </row>
    <row r="474">
      <c r="B474" s="37"/>
      <c r="U474" s="37"/>
    </row>
    <row r="475">
      <c r="B475" s="37"/>
      <c r="U475" s="37"/>
    </row>
    <row r="476">
      <c r="B476" s="37"/>
      <c r="U476" s="37"/>
    </row>
    <row r="477">
      <c r="B477" s="37"/>
      <c r="U477" s="37"/>
    </row>
    <row r="478">
      <c r="B478" s="37"/>
      <c r="U478" s="37"/>
    </row>
    <row r="479">
      <c r="B479" s="37"/>
      <c r="U479" s="37"/>
    </row>
    <row r="480">
      <c r="B480" s="37"/>
      <c r="U480" s="37"/>
    </row>
    <row r="481">
      <c r="B481" s="37"/>
      <c r="U481" s="37"/>
    </row>
    <row r="482">
      <c r="B482" s="37"/>
      <c r="U482" s="37"/>
    </row>
    <row r="483">
      <c r="B483" s="37"/>
      <c r="U483" s="37"/>
    </row>
    <row r="484">
      <c r="B484" s="37"/>
      <c r="U484" s="37"/>
    </row>
    <row r="485">
      <c r="B485" s="37"/>
      <c r="U485" s="37"/>
    </row>
    <row r="486">
      <c r="B486" s="37"/>
      <c r="U486" s="37"/>
    </row>
    <row r="487">
      <c r="B487" s="37"/>
      <c r="U487" s="37"/>
    </row>
    <row r="488">
      <c r="B488" s="37"/>
      <c r="U488" s="37"/>
    </row>
    <row r="489">
      <c r="B489" s="37"/>
      <c r="U489" s="37"/>
    </row>
    <row r="490">
      <c r="B490" s="37"/>
      <c r="U490" s="37"/>
    </row>
    <row r="491">
      <c r="B491" s="37"/>
      <c r="U491" s="37"/>
    </row>
    <row r="492">
      <c r="B492" s="37"/>
      <c r="U492" s="37"/>
    </row>
    <row r="493">
      <c r="B493" s="37"/>
      <c r="U493" s="37"/>
    </row>
    <row r="494">
      <c r="B494" s="37"/>
      <c r="U494" s="37"/>
    </row>
    <row r="495">
      <c r="B495" s="37"/>
      <c r="U495" s="37"/>
    </row>
    <row r="496">
      <c r="B496" s="37"/>
      <c r="U496" s="37"/>
    </row>
    <row r="497">
      <c r="B497" s="37"/>
      <c r="U497" s="37"/>
    </row>
    <row r="498">
      <c r="B498" s="37"/>
      <c r="U498" s="37"/>
    </row>
    <row r="499">
      <c r="B499" s="37"/>
      <c r="U499" s="37"/>
    </row>
    <row r="500">
      <c r="B500" s="37"/>
      <c r="U500" s="37"/>
    </row>
    <row r="501">
      <c r="B501" s="37"/>
      <c r="U501" s="37"/>
    </row>
    <row r="502">
      <c r="B502" s="37"/>
      <c r="U502" s="37"/>
    </row>
    <row r="503">
      <c r="B503" s="37"/>
      <c r="U503" s="37"/>
    </row>
    <row r="504">
      <c r="B504" s="37"/>
      <c r="U504" s="37"/>
    </row>
    <row r="505">
      <c r="B505" s="37"/>
      <c r="U505" s="37"/>
    </row>
    <row r="506">
      <c r="B506" s="37"/>
      <c r="U506" s="37"/>
    </row>
    <row r="507">
      <c r="B507" s="37"/>
      <c r="U507" s="37"/>
    </row>
    <row r="508">
      <c r="B508" s="37"/>
      <c r="U508" s="37"/>
    </row>
    <row r="509">
      <c r="B509" s="37"/>
      <c r="U509" s="37"/>
    </row>
    <row r="510">
      <c r="B510" s="37"/>
      <c r="U510" s="37"/>
    </row>
    <row r="511">
      <c r="B511" s="37"/>
      <c r="U511" s="37"/>
    </row>
    <row r="512">
      <c r="B512" s="37"/>
      <c r="U512" s="37"/>
    </row>
    <row r="513">
      <c r="B513" s="37"/>
      <c r="U513" s="37"/>
    </row>
    <row r="514">
      <c r="B514" s="37"/>
      <c r="U514" s="37"/>
    </row>
    <row r="515">
      <c r="B515" s="37"/>
      <c r="U515" s="37"/>
    </row>
    <row r="516">
      <c r="B516" s="37"/>
      <c r="U516" s="37"/>
    </row>
    <row r="517">
      <c r="B517" s="37"/>
      <c r="U517" s="37"/>
    </row>
    <row r="518">
      <c r="B518" s="37"/>
      <c r="U518" s="37"/>
    </row>
    <row r="519">
      <c r="B519" s="37"/>
      <c r="U519" s="37"/>
    </row>
    <row r="520">
      <c r="B520" s="37"/>
      <c r="U520" s="37"/>
    </row>
    <row r="521">
      <c r="B521" s="37"/>
      <c r="U521" s="37"/>
    </row>
    <row r="522">
      <c r="B522" s="37"/>
      <c r="U522" s="37"/>
    </row>
    <row r="523">
      <c r="B523" s="37"/>
      <c r="U523" s="37"/>
    </row>
    <row r="524">
      <c r="B524" s="37"/>
      <c r="U524" s="37"/>
    </row>
    <row r="525">
      <c r="B525" s="37"/>
      <c r="U525" s="37"/>
    </row>
    <row r="526">
      <c r="B526" s="37"/>
      <c r="U526" s="37"/>
    </row>
    <row r="527">
      <c r="B527" s="37"/>
      <c r="U527" s="37"/>
    </row>
    <row r="528">
      <c r="B528" s="37"/>
      <c r="U528" s="37"/>
    </row>
    <row r="529">
      <c r="B529" s="37"/>
      <c r="U529" s="37"/>
    </row>
    <row r="530">
      <c r="B530" s="37"/>
      <c r="U530" s="37"/>
    </row>
    <row r="531">
      <c r="B531" s="37"/>
      <c r="U531" s="37"/>
    </row>
    <row r="532">
      <c r="B532" s="37"/>
      <c r="U532" s="37"/>
    </row>
    <row r="533">
      <c r="B533" s="37"/>
      <c r="U533" s="37"/>
    </row>
    <row r="534">
      <c r="B534" s="37"/>
      <c r="U534" s="37"/>
    </row>
    <row r="535">
      <c r="B535" s="37"/>
      <c r="U535" s="37"/>
    </row>
    <row r="536">
      <c r="B536" s="37"/>
      <c r="U536" s="37"/>
    </row>
    <row r="537">
      <c r="B537" s="37"/>
      <c r="U537" s="37"/>
    </row>
    <row r="538">
      <c r="B538" s="37"/>
      <c r="U538" s="37"/>
    </row>
    <row r="539">
      <c r="B539" s="37"/>
      <c r="U539" s="37"/>
    </row>
    <row r="540">
      <c r="B540" s="37"/>
      <c r="U540" s="37"/>
    </row>
    <row r="541">
      <c r="B541" s="37"/>
      <c r="U541" s="37"/>
    </row>
    <row r="542">
      <c r="B542" s="37"/>
      <c r="U542" s="37"/>
    </row>
    <row r="543">
      <c r="B543" s="37"/>
      <c r="U543" s="37"/>
    </row>
    <row r="544">
      <c r="B544" s="37"/>
      <c r="U544" s="37"/>
    </row>
    <row r="545">
      <c r="B545" s="37"/>
      <c r="U545" s="37"/>
    </row>
    <row r="546">
      <c r="B546" s="37"/>
      <c r="U546" s="37"/>
    </row>
    <row r="547">
      <c r="B547" s="37"/>
      <c r="U547" s="37"/>
    </row>
    <row r="548">
      <c r="B548" s="37"/>
      <c r="U548" s="37"/>
    </row>
    <row r="549">
      <c r="B549" s="37"/>
      <c r="U549" s="37"/>
    </row>
    <row r="550">
      <c r="B550" s="37"/>
      <c r="U550" s="37"/>
    </row>
    <row r="551">
      <c r="B551" s="37"/>
      <c r="U551" s="37"/>
    </row>
    <row r="552">
      <c r="B552" s="37"/>
      <c r="U552" s="37"/>
    </row>
    <row r="553">
      <c r="B553" s="37"/>
      <c r="U553" s="37"/>
    </row>
    <row r="554">
      <c r="B554" s="37"/>
      <c r="U554" s="37"/>
    </row>
    <row r="555">
      <c r="B555" s="37"/>
      <c r="U555" s="37"/>
    </row>
    <row r="556">
      <c r="B556" s="37"/>
      <c r="U556" s="37"/>
    </row>
    <row r="557">
      <c r="B557" s="37"/>
      <c r="U557" s="37"/>
    </row>
    <row r="558">
      <c r="B558" s="37"/>
      <c r="U558" s="37"/>
    </row>
    <row r="559">
      <c r="B559" s="37"/>
      <c r="U559" s="37"/>
    </row>
    <row r="560">
      <c r="B560" s="37"/>
      <c r="U560" s="37"/>
    </row>
    <row r="561">
      <c r="B561" s="37"/>
      <c r="U561" s="37"/>
    </row>
    <row r="562">
      <c r="B562" s="37"/>
      <c r="U562" s="37"/>
    </row>
    <row r="563">
      <c r="B563" s="37"/>
      <c r="U563" s="37"/>
    </row>
    <row r="564">
      <c r="B564" s="37"/>
      <c r="U564" s="37"/>
    </row>
    <row r="565">
      <c r="B565" s="37"/>
      <c r="U565" s="37"/>
    </row>
    <row r="566">
      <c r="B566" s="37"/>
      <c r="U566" s="37"/>
    </row>
    <row r="567">
      <c r="B567" s="37"/>
      <c r="U567" s="37"/>
    </row>
    <row r="568">
      <c r="B568" s="37"/>
      <c r="U568" s="37"/>
    </row>
    <row r="569">
      <c r="B569" s="37"/>
      <c r="U569" s="37"/>
    </row>
    <row r="570">
      <c r="B570" s="37"/>
      <c r="U570" s="37"/>
    </row>
    <row r="571">
      <c r="B571" s="37"/>
      <c r="U571" s="37"/>
    </row>
    <row r="572">
      <c r="B572" s="37"/>
      <c r="U572" s="37"/>
    </row>
    <row r="573">
      <c r="B573" s="37"/>
      <c r="U573" s="37"/>
    </row>
    <row r="574">
      <c r="B574" s="37"/>
      <c r="U574" s="37"/>
    </row>
    <row r="575">
      <c r="B575" s="37"/>
      <c r="U575" s="37"/>
    </row>
    <row r="576">
      <c r="B576" s="37"/>
      <c r="U576" s="37"/>
    </row>
    <row r="577">
      <c r="B577" s="37"/>
      <c r="U577" s="37"/>
    </row>
    <row r="578">
      <c r="B578" s="37"/>
      <c r="U578" s="37"/>
    </row>
    <row r="579">
      <c r="B579" s="37"/>
      <c r="U579" s="37"/>
    </row>
    <row r="580">
      <c r="B580" s="37"/>
      <c r="U580" s="37"/>
    </row>
    <row r="581">
      <c r="B581" s="37"/>
      <c r="U581" s="37"/>
    </row>
    <row r="582">
      <c r="B582" s="37"/>
      <c r="U582" s="37"/>
    </row>
    <row r="583">
      <c r="B583" s="37"/>
      <c r="U583" s="37"/>
    </row>
    <row r="584">
      <c r="B584" s="37"/>
      <c r="U584" s="37"/>
    </row>
    <row r="585">
      <c r="B585" s="37"/>
      <c r="U585" s="37"/>
    </row>
    <row r="586">
      <c r="B586" s="37"/>
      <c r="U586" s="37"/>
    </row>
    <row r="587">
      <c r="B587" s="37"/>
      <c r="U587" s="37"/>
    </row>
    <row r="588">
      <c r="B588" s="37"/>
      <c r="U588" s="37"/>
    </row>
    <row r="589">
      <c r="B589" s="37"/>
      <c r="U589" s="37"/>
    </row>
    <row r="590">
      <c r="B590" s="37"/>
      <c r="U590" s="37"/>
    </row>
    <row r="591">
      <c r="B591" s="37"/>
      <c r="U591" s="37"/>
    </row>
    <row r="592">
      <c r="B592" s="37"/>
      <c r="U592" s="37"/>
    </row>
    <row r="593">
      <c r="B593" s="37"/>
      <c r="U593" s="37"/>
    </row>
    <row r="594">
      <c r="B594" s="37"/>
      <c r="U594" s="37"/>
    </row>
    <row r="595">
      <c r="B595" s="37"/>
      <c r="U595" s="37"/>
    </row>
    <row r="596">
      <c r="B596" s="37"/>
      <c r="U596" s="37"/>
    </row>
    <row r="597">
      <c r="B597" s="37"/>
      <c r="U597" s="37"/>
    </row>
    <row r="598">
      <c r="B598" s="37"/>
      <c r="U598" s="37"/>
    </row>
    <row r="599">
      <c r="B599" s="37"/>
      <c r="U599" s="37"/>
    </row>
    <row r="600">
      <c r="B600" s="37"/>
      <c r="U600" s="37"/>
    </row>
    <row r="601">
      <c r="B601" s="37"/>
      <c r="U601" s="37"/>
    </row>
    <row r="602">
      <c r="B602" s="37"/>
      <c r="U602" s="37"/>
    </row>
    <row r="603">
      <c r="B603" s="37"/>
      <c r="U603" s="37"/>
    </row>
    <row r="604">
      <c r="B604" s="37"/>
      <c r="U604" s="37"/>
    </row>
    <row r="605">
      <c r="B605" s="37"/>
      <c r="U605" s="37"/>
    </row>
    <row r="606">
      <c r="B606" s="37"/>
      <c r="U606" s="37"/>
    </row>
    <row r="607">
      <c r="B607" s="37"/>
      <c r="U607" s="37"/>
    </row>
    <row r="608">
      <c r="B608" s="37"/>
      <c r="U608" s="37"/>
    </row>
    <row r="609">
      <c r="B609" s="37"/>
      <c r="U609" s="37"/>
    </row>
    <row r="610">
      <c r="B610" s="37"/>
      <c r="U610" s="37"/>
    </row>
    <row r="611">
      <c r="B611" s="37"/>
      <c r="U611" s="37"/>
    </row>
    <row r="612">
      <c r="B612" s="37"/>
      <c r="U612" s="37"/>
    </row>
    <row r="613">
      <c r="B613" s="37"/>
      <c r="U613" s="37"/>
    </row>
    <row r="614">
      <c r="B614" s="37"/>
      <c r="U614" s="37"/>
    </row>
    <row r="615">
      <c r="B615" s="37"/>
      <c r="U615" s="37"/>
    </row>
    <row r="616">
      <c r="B616" s="37"/>
      <c r="U616" s="37"/>
    </row>
    <row r="617">
      <c r="B617" s="37"/>
      <c r="U617" s="37"/>
    </row>
    <row r="618">
      <c r="B618" s="37"/>
      <c r="U618" s="37"/>
    </row>
    <row r="619">
      <c r="B619" s="37"/>
      <c r="U619" s="37"/>
    </row>
    <row r="620">
      <c r="B620" s="37"/>
      <c r="U620" s="37"/>
    </row>
    <row r="621">
      <c r="B621" s="37"/>
      <c r="U621" s="37"/>
    </row>
    <row r="622">
      <c r="B622" s="37"/>
      <c r="U622" s="37"/>
    </row>
    <row r="623">
      <c r="B623" s="37"/>
      <c r="U623" s="37"/>
    </row>
    <row r="624">
      <c r="B624" s="37"/>
      <c r="U624" s="37"/>
    </row>
    <row r="625">
      <c r="B625" s="37"/>
      <c r="U625" s="37"/>
    </row>
    <row r="626">
      <c r="B626" s="37"/>
      <c r="U626" s="37"/>
    </row>
    <row r="627">
      <c r="B627" s="37"/>
      <c r="U627" s="37"/>
    </row>
    <row r="628">
      <c r="B628" s="37"/>
      <c r="U628" s="37"/>
    </row>
    <row r="629">
      <c r="B629" s="37"/>
      <c r="U629" s="37"/>
    </row>
    <row r="630">
      <c r="B630" s="37"/>
      <c r="U630" s="37"/>
    </row>
    <row r="631">
      <c r="B631" s="37"/>
      <c r="U631" s="37"/>
    </row>
    <row r="632">
      <c r="B632" s="37"/>
      <c r="U632" s="37"/>
    </row>
    <row r="633">
      <c r="B633" s="37"/>
      <c r="U633" s="37"/>
    </row>
    <row r="634">
      <c r="B634" s="37"/>
      <c r="U634" s="37"/>
    </row>
    <row r="635">
      <c r="B635" s="37"/>
      <c r="U635" s="37"/>
    </row>
    <row r="636">
      <c r="B636" s="37"/>
      <c r="U636" s="37"/>
    </row>
    <row r="637">
      <c r="B637" s="37"/>
      <c r="U637" s="37"/>
    </row>
    <row r="638">
      <c r="B638" s="37"/>
      <c r="U638" s="37"/>
    </row>
    <row r="639">
      <c r="B639" s="37"/>
      <c r="U639" s="37"/>
    </row>
    <row r="640">
      <c r="B640" s="37"/>
      <c r="U640" s="37"/>
    </row>
    <row r="641">
      <c r="B641" s="37"/>
      <c r="U641" s="37"/>
    </row>
    <row r="642">
      <c r="B642" s="37"/>
      <c r="U642" s="37"/>
    </row>
    <row r="643">
      <c r="B643" s="37"/>
      <c r="U643" s="37"/>
    </row>
    <row r="644">
      <c r="B644" s="37"/>
      <c r="U644" s="37"/>
    </row>
    <row r="645">
      <c r="B645" s="37"/>
      <c r="U645" s="37"/>
    </row>
    <row r="646">
      <c r="B646" s="37"/>
      <c r="U646" s="37"/>
    </row>
    <row r="647">
      <c r="B647" s="37"/>
      <c r="U647" s="37"/>
    </row>
    <row r="648">
      <c r="B648" s="37"/>
      <c r="U648" s="37"/>
    </row>
    <row r="649">
      <c r="B649" s="37"/>
      <c r="U649" s="37"/>
    </row>
    <row r="650">
      <c r="B650" s="37"/>
      <c r="U650" s="37"/>
    </row>
    <row r="651">
      <c r="B651" s="37"/>
      <c r="U651" s="37"/>
    </row>
    <row r="652">
      <c r="B652" s="37"/>
      <c r="U652" s="37"/>
    </row>
    <row r="653">
      <c r="B653" s="37"/>
      <c r="U653" s="37"/>
    </row>
    <row r="654">
      <c r="B654" s="37"/>
      <c r="U654" s="37"/>
    </row>
    <row r="655">
      <c r="B655" s="37"/>
      <c r="U655" s="37"/>
    </row>
    <row r="656">
      <c r="B656" s="37"/>
      <c r="U656" s="37"/>
    </row>
    <row r="657">
      <c r="B657" s="37"/>
      <c r="U657" s="37"/>
    </row>
    <row r="658">
      <c r="B658" s="37"/>
      <c r="U658" s="37"/>
    </row>
    <row r="659">
      <c r="B659" s="37"/>
      <c r="U659" s="37"/>
    </row>
    <row r="660">
      <c r="B660" s="37"/>
      <c r="U660" s="37"/>
    </row>
    <row r="661">
      <c r="B661" s="37"/>
      <c r="U661" s="37"/>
    </row>
    <row r="662">
      <c r="B662" s="37"/>
      <c r="U662" s="37"/>
    </row>
    <row r="663">
      <c r="B663" s="37"/>
      <c r="U663" s="37"/>
    </row>
    <row r="664">
      <c r="B664" s="37"/>
      <c r="U664" s="37"/>
    </row>
    <row r="665">
      <c r="B665" s="37"/>
      <c r="U665" s="37"/>
    </row>
    <row r="666">
      <c r="B666" s="37"/>
      <c r="U666" s="37"/>
    </row>
    <row r="667">
      <c r="B667" s="37"/>
      <c r="U667" s="37"/>
    </row>
    <row r="668">
      <c r="B668" s="37"/>
      <c r="U668" s="37"/>
    </row>
    <row r="669">
      <c r="B669" s="37"/>
      <c r="U669" s="37"/>
    </row>
    <row r="670">
      <c r="B670" s="37"/>
      <c r="U670" s="37"/>
    </row>
    <row r="671">
      <c r="B671" s="37"/>
      <c r="U671" s="37"/>
    </row>
    <row r="672">
      <c r="B672" s="37"/>
      <c r="U672" s="37"/>
    </row>
    <row r="673">
      <c r="B673" s="37"/>
      <c r="U673" s="37"/>
    </row>
    <row r="674">
      <c r="B674" s="37"/>
      <c r="U674" s="37"/>
    </row>
    <row r="675">
      <c r="B675" s="37"/>
      <c r="U675" s="37"/>
    </row>
    <row r="676">
      <c r="B676" s="37"/>
      <c r="U676" s="37"/>
    </row>
    <row r="677">
      <c r="B677" s="37"/>
      <c r="U677" s="37"/>
    </row>
    <row r="678">
      <c r="B678" s="37"/>
      <c r="U678" s="37"/>
    </row>
    <row r="679">
      <c r="B679" s="37"/>
      <c r="U679" s="37"/>
    </row>
    <row r="680">
      <c r="B680" s="37"/>
      <c r="U680" s="37"/>
    </row>
    <row r="681">
      <c r="B681" s="37"/>
      <c r="U681" s="37"/>
    </row>
    <row r="682">
      <c r="B682" s="37"/>
      <c r="U682" s="37"/>
    </row>
    <row r="683">
      <c r="B683" s="37"/>
      <c r="U683" s="37"/>
    </row>
    <row r="684">
      <c r="B684" s="37"/>
      <c r="U684" s="37"/>
    </row>
    <row r="685">
      <c r="B685" s="37"/>
      <c r="U685" s="37"/>
    </row>
    <row r="686">
      <c r="B686" s="37"/>
      <c r="U686" s="37"/>
    </row>
    <row r="687">
      <c r="B687" s="37"/>
      <c r="U687" s="37"/>
    </row>
    <row r="688">
      <c r="B688" s="37"/>
      <c r="U688" s="37"/>
    </row>
    <row r="689">
      <c r="B689" s="37"/>
      <c r="U689" s="37"/>
    </row>
    <row r="690">
      <c r="B690" s="37"/>
      <c r="U690" s="37"/>
    </row>
    <row r="691">
      <c r="B691" s="37"/>
      <c r="U691" s="37"/>
    </row>
    <row r="692">
      <c r="B692" s="37"/>
      <c r="U692" s="37"/>
    </row>
    <row r="693">
      <c r="B693" s="37"/>
      <c r="U693" s="37"/>
    </row>
    <row r="694">
      <c r="B694" s="37"/>
      <c r="U694" s="37"/>
    </row>
    <row r="695">
      <c r="B695" s="37"/>
      <c r="U695" s="37"/>
    </row>
    <row r="696">
      <c r="B696" s="37"/>
      <c r="U696" s="37"/>
    </row>
    <row r="697">
      <c r="B697" s="37"/>
      <c r="U697" s="37"/>
    </row>
    <row r="698">
      <c r="B698" s="37"/>
      <c r="U698" s="37"/>
    </row>
    <row r="699">
      <c r="B699" s="37"/>
      <c r="U699" s="37"/>
    </row>
    <row r="700">
      <c r="B700" s="37"/>
      <c r="U700" s="37"/>
    </row>
    <row r="701">
      <c r="B701" s="37"/>
      <c r="U701" s="37"/>
    </row>
    <row r="702">
      <c r="B702" s="37"/>
      <c r="U702" s="37"/>
    </row>
    <row r="703">
      <c r="B703" s="37"/>
      <c r="U703" s="37"/>
    </row>
    <row r="704">
      <c r="B704" s="37"/>
      <c r="U704" s="37"/>
    </row>
    <row r="705">
      <c r="B705" s="37"/>
      <c r="U705" s="37"/>
    </row>
    <row r="706">
      <c r="B706" s="37"/>
      <c r="U706" s="37"/>
    </row>
    <row r="707">
      <c r="B707" s="37"/>
      <c r="U707" s="37"/>
    </row>
    <row r="708">
      <c r="B708" s="37"/>
      <c r="U708" s="37"/>
    </row>
    <row r="709">
      <c r="B709" s="37"/>
      <c r="U709" s="37"/>
    </row>
    <row r="710">
      <c r="B710" s="37"/>
      <c r="U710" s="37"/>
    </row>
    <row r="711">
      <c r="B711" s="37"/>
      <c r="U711" s="37"/>
    </row>
    <row r="712">
      <c r="B712" s="37"/>
      <c r="U712" s="37"/>
    </row>
    <row r="713">
      <c r="B713" s="37"/>
      <c r="U713" s="37"/>
    </row>
    <row r="714">
      <c r="B714" s="37"/>
      <c r="U714" s="37"/>
    </row>
    <row r="715">
      <c r="B715" s="37"/>
      <c r="U715" s="37"/>
    </row>
    <row r="716">
      <c r="B716" s="37"/>
      <c r="U716" s="37"/>
    </row>
    <row r="717">
      <c r="B717" s="37"/>
      <c r="U717" s="37"/>
    </row>
    <row r="718">
      <c r="B718" s="37"/>
      <c r="U718" s="37"/>
    </row>
    <row r="719">
      <c r="B719" s="37"/>
      <c r="U719" s="37"/>
    </row>
    <row r="720">
      <c r="B720" s="37"/>
      <c r="U720" s="37"/>
    </row>
    <row r="721">
      <c r="B721" s="37"/>
      <c r="U721" s="37"/>
    </row>
    <row r="722">
      <c r="B722" s="37"/>
      <c r="U722" s="37"/>
    </row>
    <row r="723">
      <c r="B723" s="37"/>
      <c r="U723" s="37"/>
    </row>
    <row r="724">
      <c r="B724" s="37"/>
      <c r="U724" s="37"/>
    </row>
    <row r="725">
      <c r="B725" s="37"/>
      <c r="U725" s="37"/>
    </row>
    <row r="726">
      <c r="B726" s="37"/>
      <c r="U726" s="37"/>
    </row>
    <row r="727">
      <c r="B727" s="37"/>
      <c r="U727" s="37"/>
    </row>
    <row r="728">
      <c r="B728" s="37"/>
      <c r="U728" s="37"/>
    </row>
    <row r="729">
      <c r="B729" s="37"/>
      <c r="U729" s="37"/>
    </row>
    <row r="730">
      <c r="B730" s="37"/>
      <c r="U730" s="37"/>
    </row>
    <row r="731">
      <c r="B731" s="37"/>
      <c r="U731" s="37"/>
    </row>
    <row r="732">
      <c r="B732" s="37"/>
      <c r="U732" s="37"/>
    </row>
    <row r="733">
      <c r="B733" s="37"/>
      <c r="U733" s="37"/>
    </row>
    <row r="734">
      <c r="B734" s="37"/>
      <c r="U734" s="37"/>
    </row>
    <row r="735">
      <c r="B735" s="37"/>
      <c r="U735" s="37"/>
    </row>
    <row r="736">
      <c r="B736" s="37"/>
      <c r="U736" s="37"/>
    </row>
    <row r="737">
      <c r="B737" s="37"/>
      <c r="U737" s="37"/>
    </row>
    <row r="738">
      <c r="B738" s="37"/>
      <c r="U738" s="37"/>
    </row>
    <row r="739">
      <c r="B739" s="37"/>
      <c r="U739" s="37"/>
    </row>
    <row r="740">
      <c r="B740" s="37"/>
      <c r="U740" s="37"/>
    </row>
    <row r="741">
      <c r="B741" s="37"/>
      <c r="U741" s="37"/>
    </row>
    <row r="742">
      <c r="B742" s="37"/>
      <c r="U742" s="37"/>
    </row>
    <row r="743">
      <c r="B743" s="37"/>
      <c r="U743" s="37"/>
    </row>
    <row r="744">
      <c r="B744" s="37"/>
      <c r="U744" s="37"/>
    </row>
    <row r="745">
      <c r="B745" s="37"/>
      <c r="U745" s="37"/>
    </row>
    <row r="746">
      <c r="B746" s="37"/>
      <c r="U746" s="37"/>
    </row>
    <row r="747">
      <c r="B747" s="37"/>
      <c r="U747" s="37"/>
    </row>
    <row r="748">
      <c r="B748" s="37"/>
      <c r="U748" s="37"/>
    </row>
    <row r="749">
      <c r="B749" s="37"/>
      <c r="U749" s="37"/>
    </row>
    <row r="750">
      <c r="B750" s="37"/>
      <c r="U750" s="37"/>
    </row>
    <row r="751">
      <c r="B751" s="37"/>
      <c r="U751" s="37"/>
    </row>
    <row r="752">
      <c r="B752" s="37"/>
      <c r="U752" s="37"/>
    </row>
    <row r="753">
      <c r="B753" s="37"/>
      <c r="U753" s="37"/>
    </row>
    <row r="754">
      <c r="B754" s="37"/>
      <c r="U754" s="37"/>
    </row>
    <row r="755">
      <c r="B755" s="37"/>
      <c r="U755" s="37"/>
    </row>
    <row r="756">
      <c r="B756" s="37"/>
      <c r="U756" s="37"/>
    </row>
    <row r="757">
      <c r="B757" s="37"/>
      <c r="U757" s="37"/>
    </row>
    <row r="758">
      <c r="B758" s="37"/>
      <c r="U758" s="37"/>
    </row>
    <row r="759">
      <c r="B759" s="37"/>
      <c r="U759" s="37"/>
    </row>
    <row r="760">
      <c r="B760" s="37"/>
      <c r="U760" s="37"/>
    </row>
    <row r="761">
      <c r="B761" s="37"/>
      <c r="U761" s="37"/>
    </row>
    <row r="762">
      <c r="B762" s="37"/>
      <c r="U762" s="37"/>
    </row>
    <row r="763">
      <c r="B763" s="37"/>
      <c r="U763" s="37"/>
    </row>
    <row r="764">
      <c r="B764" s="37"/>
      <c r="U764" s="37"/>
    </row>
    <row r="765">
      <c r="B765" s="37"/>
      <c r="U765" s="37"/>
    </row>
    <row r="766">
      <c r="B766" s="37"/>
      <c r="U766" s="37"/>
    </row>
    <row r="767">
      <c r="B767" s="37"/>
      <c r="U767" s="37"/>
    </row>
    <row r="768">
      <c r="B768" s="37"/>
      <c r="U768" s="37"/>
    </row>
    <row r="769">
      <c r="B769" s="37"/>
      <c r="U769" s="37"/>
    </row>
    <row r="770">
      <c r="B770" s="37"/>
      <c r="U770" s="37"/>
    </row>
    <row r="771">
      <c r="B771" s="37"/>
      <c r="U771" s="37"/>
    </row>
    <row r="772">
      <c r="B772" s="37"/>
      <c r="U772" s="37"/>
    </row>
    <row r="773">
      <c r="B773" s="37"/>
      <c r="U773" s="37"/>
    </row>
    <row r="774">
      <c r="B774" s="37"/>
      <c r="U774" s="37"/>
    </row>
    <row r="775">
      <c r="B775" s="37"/>
      <c r="U775" s="37"/>
    </row>
    <row r="776">
      <c r="B776" s="37"/>
      <c r="U776" s="37"/>
    </row>
    <row r="777">
      <c r="B777" s="37"/>
      <c r="U777" s="37"/>
    </row>
    <row r="778">
      <c r="B778" s="37"/>
      <c r="U778" s="37"/>
    </row>
    <row r="779">
      <c r="B779" s="37"/>
      <c r="U779" s="37"/>
    </row>
    <row r="780">
      <c r="B780" s="37"/>
      <c r="U780" s="37"/>
    </row>
    <row r="781">
      <c r="B781" s="37"/>
      <c r="U781" s="37"/>
    </row>
    <row r="782">
      <c r="B782" s="37"/>
      <c r="U782" s="37"/>
    </row>
    <row r="783">
      <c r="B783" s="37"/>
      <c r="U783" s="37"/>
    </row>
    <row r="784">
      <c r="B784" s="37"/>
      <c r="U784" s="37"/>
    </row>
    <row r="785">
      <c r="B785" s="37"/>
      <c r="U785" s="37"/>
    </row>
    <row r="786">
      <c r="B786" s="37"/>
      <c r="U786" s="37"/>
    </row>
    <row r="787">
      <c r="B787" s="37"/>
      <c r="U787" s="37"/>
    </row>
    <row r="788">
      <c r="B788" s="37"/>
      <c r="U788" s="37"/>
    </row>
    <row r="789">
      <c r="B789" s="37"/>
      <c r="U789" s="37"/>
    </row>
    <row r="790">
      <c r="B790" s="37"/>
      <c r="U790" s="37"/>
    </row>
    <row r="791">
      <c r="B791" s="37"/>
      <c r="U791" s="37"/>
    </row>
    <row r="792">
      <c r="B792" s="37"/>
      <c r="U792" s="37"/>
    </row>
    <row r="793">
      <c r="B793" s="37"/>
      <c r="U793" s="37"/>
    </row>
    <row r="794">
      <c r="B794" s="37"/>
      <c r="U794" s="37"/>
    </row>
    <row r="795">
      <c r="B795" s="37"/>
      <c r="U795" s="37"/>
    </row>
    <row r="796">
      <c r="B796" s="37"/>
      <c r="U796" s="37"/>
    </row>
    <row r="797">
      <c r="B797" s="37"/>
      <c r="U797" s="37"/>
    </row>
    <row r="798">
      <c r="B798" s="37"/>
      <c r="U798" s="37"/>
    </row>
    <row r="799">
      <c r="B799" s="37"/>
      <c r="U799" s="37"/>
    </row>
    <row r="800">
      <c r="B800" s="37"/>
      <c r="U800" s="37"/>
    </row>
    <row r="801">
      <c r="B801" s="37"/>
      <c r="U801" s="37"/>
    </row>
    <row r="802">
      <c r="B802" s="37"/>
      <c r="U802" s="37"/>
    </row>
    <row r="803">
      <c r="B803" s="37"/>
      <c r="U803" s="37"/>
    </row>
    <row r="804">
      <c r="B804" s="37"/>
      <c r="U804" s="37"/>
    </row>
    <row r="805">
      <c r="B805" s="37"/>
      <c r="U805" s="37"/>
    </row>
    <row r="806">
      <c r="B806" s="37"/>
      <c r="U806" s="37"/>
    </row>
    <row r="807">
      <c r="B807" s="37"/>
      <c r="U807" s="37"/>
    </row>
    <row r="808">
      <c r="B808" s="37"/>
      <c r="U808" s="37"/>
    </row>
    <row r="809">
      <c r="B809" s="37"/>
      <c r="U809" s="37"/>
    </row>
    <row r="810">
      <c r="B810" s="37"/>
      <c r="U810" s="37"/>
    </row>
    <row r="811">
      <c r="B811" s="37"/>
      <c r="U811" s="37"/>
    </row>
    <row r="812">
      <c r="B812" s="37"/>
      <c r="U812" s="37"/>
    </row>
    <row r="813">
      <c r="B813" s="37"/>
      <c r="U813" s="37"/>
    </row>
    <row r="814">
      <c r="B814" s="37"/>
      <c r="U814" s="37"/>
    </row>
    <row r="815">
      <c r="B815" s="37"/>
      <c r="U815" s="37"/>
    </row>
    <row r="816">
      <c r="B816" s="37"/>
      <c r="U816" s="37"/>
    </row>
    <row r="817">
      <c r="B817" s="37"/>
      <c r="U817" s="37"/>
    </row>
    <row r="818">
      <c r="B818" s="37"/>
      <c r="U818" s="37"/>
    </row>
    <row r="819">
      <c r="B819" s="37"/>
      <c r="U819" s="37"/>
    </row>
    <row r="820">
      <c r="B820" s="37"/>
      <c r="U820" s="37"/>
    </row>
    <row r="821">
      <c r="B821" s="37"/>
      <c r="U821" s="37"/>
    </row>
    <row r="822">
      <c r="B822" s="37"/>
      <c r="U822" s="37"/>
    </row>
    <row r="823">
      <c r="B823" s="37"/>
      <c r="U823" s="37"/>
    </row>
    <row r="824">
      <c r="B824" s="37"/>
      <c r="U824" s="37"/>
    </row>
    <row r="825">
      <c r="B825" s="37"/>
      <c r="U825" s="37"/>
    </row>
    <row r="826">
      <c r="B826" s="37"/>
      <c r="U826" s="37"/>
    </row>
    <row r="827">
      <c r="B827" s="37"/>
      <c r="U827" s="37"/>
    </row>
    <row r="828">
      <c r="B828" s="37"/>
      <c r="U828" s="37"/>
    </row>
    <row r="829">
      <c r="B829" s="37"/>
      <c r="U829" s="37"/>
    </row>
    <row r="830">
      <c r="B830" s="37"/>
      <c r="U830" s="37"/>
    </row>
    <row r="831">
      <c r="B831" s="37"/>
      <c r="U831" s="37"/>
    </row>
    <row r="832">
      <c r="B832" s="37"/>
      <c r="U832" s="37"/>
    </row>
    <row r="833">
      <c r="B833" s="37"/>
      <c r="U833" s="37"/>
    </row>
    <row r="834">
      <c r="B834" s="37"/>
      <c r="U834" s="37"/>
    </row>
    <row r="835">
      <c r="B835" s="37"/>
      <c r="U835" s="37"/>
    </row>
    <row r="836">
      <c r="B836" s="37"/>
      <c r="U836" s="37"/>
    </row>
    <row r="837">
      <c r="B837" s="37"/>
      <c r="U837" s="37"/>
    </row>
    <row r="838">
      <c r="B838" s="37"/>
      <c r="U838" s="37"/>
    </row>
    <row r="839">
      <c r="B839" s="37"/>
      <c r="U839" s="37"/>
    </row>
    <row r="840">
      <c r="B840" s="37"/>
      <c r="U840" s="37"/>
    </row>
    <row r="841">
      <c r="B841" s="37"/>
      <c r="U841" s="37"/>
    </row>
    <row r="842">
      <c r="B842" s="37"/>
      <c r="U842" s="37"/>
    </row>
    <row r="843">
      <c r="B843" s="37"/>
      <c r="U843" s="37"/>
    </row>
    <row r="844">
      <c r="B844" s="37"/>
      <c r="U844" s="37"/>
    </row>
    <row r="845">
      <c r="B845" s="37"/>
      <c r="U845" s="37"/>
    </row>
    <row r="846">
      <c r="B846" s="37"/>
      <c r="U846" s="37"/>
    </row>
    <row r="847">
      <c r="B847" s="37"/>
      <c r="U847" s="37"/>
    </row>
    <row r="848">
      <c r="B848" s="37"/>
      <c r="U848" s="37"/>
    </row>
    <row r="849">
      <c r="B849" s="37"/>
      <c r="U849" s="37"/>
    </row>
    <row r="850">
      <c r="B850" s="37"/>
      <c r="U850" s="37"/>
    </row>
    <row r="851">
      <c r="B851" s="37"/>
      <c r="U851" s="37"/>
    </row>
    <row r="852">
      <c r="B852" s="37"/>
      <c r="U852" s="37"/>
    </row>
    <row r="853">
      <c r="B853" s="37"/>
      <c r="U853" s="37"/>
    </row>
    <row r="854">
      <c r="B854" s="37"/>
      <c r="U854" s="37"/>
    </row>
    <row r="855">
      <c r="B855" s="37"/>
      <c r="U855" s="37"/>
    </row>
    <row r="856">
      <c r="B856" s="37"/>
      <c r="U856" s="37"/>
    </row>
    <row r="857">
      <c r="B857" s="37"/>
      <c r="U857" s="37"/>
    </row>
    <row r="858">
      <c r="B858" s="37"/>
      <c r="U858" s="37"/>
    </row>
    <row r="859">
      <c r="B859" s="37"/>
      <c r="U859" s="37"/>
    </row>
    <row r="860">
      <c r="B860" s="37"/>
      <c r="U860" s="37"/>
    </row>
    <row r="861">
      <c r="B861" s="37"/>
      <c r="U861" s="37"/>
    </row>
    <row r="862">
      <c r="B862" s="37"/>
      <c r="U862" s="37"/>
    </row>
    <row r="863">
      <c r="B863" s="37"/>
      <c r="U863" s="37"/>
    </row>
    <row r="864">
      <c r="B864" s="37"/>
      <c r="U864" s="37"/>
    </row>
    <row r="865">
      <c r="B865" s="37"/>
      <c r="U865" s="37"/>
    </row>
    <row r="866">
      <c r="B866" s="37"/>
      <c r="U866" s="37"/>
    </row>
    <row r="867">
      <c r="B867" s="37"/>
      <c r="U867" s="37"/>
    </row>
    <row r="868">
      <c r="B868" s="37"/>
      <c r="U868" s="37"/>
    </row>
    <row r="869">
      <c r="B869" s="37"/>
      <c r="U869" s="37"/>
    </row>
    <row r="870">
      <c r="B870" s="37"/>
      <c r="U870" s="37"/>
    </row>
    <row r="871">
      <c r="B871" s="37"/>
      <c r="U871" s="37"/>
    </row>
    <row r="872">
      <c r="B872" s="37"/>
      <c r="U872" s="37"/>
    </row>
    <row r="873">
      <c r="B873" s="37"/>
      <c r="U873" s="37"/>
    </row>
    <row r="874">
      <c r="B874" s="37"/>
      <c r="U874" s="37"/>
    </row>
    <row r="875">
      <c r="B875" s="37"/>
      <c r="U875" s="37"/>
    </row>
    <row r="876">
      <c r="B876" s="37"/>
      <c r="U876" s="37"/>
    </row>
    <row r="877">
      <c r="B877" s="37"/>
      <c r="U877" s="37"/>
    </row>
    <row r="878">
      <c r="B878" s="37"/>
      <c r="U878" s="37"/>
    </row>
    <row r="879">
      <c r="B879" s="37"/>
      <c r="U879" s="37"/>
    </row>
    <row r="880">
      <c r="B880" s="37"/>
      <c r="U880" s="37"/>
    </row>
    <row r="881">
      <c r="B881" s="37"/>
      <c r="U881" s="37"/>
    </row>
    <row r="882">
      <c r="B882" s="37"/>
      <c r="U882" s="37"/>
    </row>
    <row r="883">
      <c r="B883" s="37"/>
      <c r="U883" s="37"/>
    </row>
    <row r="884">
      <c r="B884" s="37"/>
      <c r="U884" s="37"/>
    </row>
    <row r="885">
      <c r="B885" s="37"/>
      <c r="U885" s="37"/>
    </row>
    <row r="886">
      <c r="B886" s="37"/>
      <c r="U886" s="37"/>
    </row>
    <row r="887">
      <c r="B887" s="37"/>
      <c r="U887" s="37"/>
    </row>
    <row r="888">
      <c r="B888" s="37"/>
      <c r="U888" s="37"/>
    </row>
    <row r="889">
      <c r="B889" s="37"/>
      <c r="U889" s="37"/>
    </row>
    <row r="890">
      <c r="B890" s="37"/>
      <c r="U890" s="37"/>
    </row>
    <row r="891">
      <c r="B891" s="37"/>
      <c r="U891" s="37"/>
    </row>
    <row r="892">
      <c r="B892" s="37"/>
      <c r="U892" s="37"/>
    </row>
    <row r="893">
      <c r="B893" s="37"/>
      <c r="U893" s="37"/>
    </row>
    <row r="894">
      <c r="B894" s="37"/>
      <c r="U894" s="37"/>
    </row>
    <row r="895">
      <c r="B895" s="37"/>
      <c r="U895" s="37"/>
    </row>
    <row r="896">
      <c r="B896" s="37"/>
      <c r="U896" s="37"/>
    </row>
    <row r="897">
      <c r="B897" s="37"/>
      <c r="U897" s="37"/>
    </row>
    <row r="898">
      <c r="B898" s="37"/>
      <c r="U898" s="37"/>
    </row>
    <row r="899">
      <c r="B899" s="37"/>
      <c r="U899" s="37"/>
    </row>
    <row r="900">
      <c r="B900" s="37"/>
      <c r="U900" s="37"/>
    </row>
    <row r="901">
      <c r="B901" s="37"/>
      <c r="U901" s="37"/>
    </row>
    <row r="902">
      <c r="B902" s="37"/>
      <c r="U902" s="37"/>
    </row>
    <row r="903">
      <c r="B903" s="37"/>
      <c r="U903" s="37"/>
    </row>
    <row r="904">
      <c r="B904" s="37"/>
      <c r="U904" s="37"/>
    </row>
    <row r="905">
      <c r="B905" s="37"/>
      <c r="U905" s="37"/>
    </row>
    <row r="906">
      <c r="B906" s="37"/>
      <c r="U906" s="37"/>
    </row>
    <row r="907">
      <c r="B907" s="37"/>
      <c r="U907" s="37"/>
    </row>
    <row r="908">
      <c r="B908" s="37"/>
      <c r="U908" s="37"/>
    </row>
    <row r="909">
      <c r="B909" s="37"/>
      <c r="U909" s="37"/>
    </row>
    <row r="910">
      <c r="B910" s="37"/>
      <c r="U910" s="37"/>
    </row>
    <row r="911">
      <c r="B911" s="37"/>
      <c r="U911" s="37"/>
    </row>
    <row r="912">
      <c r="B912" s="37"/>
      <c r="U912" s="37"/>
    </row>
    <row r="913">
      <c r="B913" s="37"/>
      <c r="U913" s="37"/>
    </row>
    <row r="914">
      <c r="B914" s="37"/>
      <c r="U914" s="37"/>
    </row>
    <row r="915">
      <c r="B915" s="37"/>
      <c r="U915" s="37"/>
    </row>
    <row r="916">
      <c r="B916" s="37"/>
      <c r="U916" s="37"/>
    </row>
    <row r="917">
      <c r="B917" s="37"/>
      <c r="U917" s="37"/>
    </row>
    <row r="918">
      <c r="B918" s="37"/>
      <c r="U918" s="37"/>
    </row>
    <row r="919">
      <c r="B919" s="37"/>
      <c r="U919" s="37"/>
    </row>
    <row r="920">
      <c r="B920" s="37"/>
      <c r="U920" s="37"/>
    </row>
    <row r="921">
      <c r="B921" s="37"/>
      <c r="U921" s="37"/>
    </row>
    <row r="922">
      <c r="B922" s="37"/>
      <c r="U922" s="37"/>
    </row>
    <row r="923">
      <c r="B923" s="37"/>
      <c r="U923" s="37"/>
    </row>
    <row r="924">
      <c r="B924" s="37"/>
      <c r="U924" s="37"/>
    </row>
    <row r="925">
      <c r="B925" s="37"/>
      <c r="U925" s="37"/>
    </row>
    <row r="926">
      <c r="B926" s="37"/>
      <c r="U926" s="37"/>
    </row>
    <row r="927">
      <c r="B927" s="37"/>
      <c r="U927" s="37"/>
    </row>
    <row r="928">
      <c r="B928" s="37"/>
      <c r="U928" s="37"/>
    </row>
    <row r="929">
      <c r="B929" s="37"/>
      <c r="U929" s="37"/>
    </row>
    <row r="930">
      <c r="B930" s="37"/>
      <c r="U930" s="37"/>
    </row>
    <row r="931">
      <c r="B931" s="37"/>
      <c r="U931" s="37"/>
    </row>
    <row r="932">
      <c r="B932" s="37"/>
      <c r="U932" s="37"/>
    </row>
    <row r="933">
      <c r="B933" s="37"/>
      <c r="U933" s="37"/>
    </row>
    <row r="934">
      <c r="B934" s="37"/>
      <c r="U934" s="37"/>
    </row>
    <row r="935">
      <c r="B935" s="37"/>
      <c r="U935" s="37"/>
    </row>
    <row r="936">
      <c r="B936" s="37"/>
      <c r="U936" s="37"/>
    </row>
    <row r="937">
      <c r="B937" s="37"/>
      <c r="U937" s="37"/>
    </row>
    <row r="938">
      <c r="B938" s="37"/>
      <c r="U938" s="37"/>
    </row>
    <row r="939">
      <c r="B939" s="37"/>
      <c r="U939" s="37"/>
    </row>
    <row r="940">
      <c r="B940" s="37"/>
      <c r="U940" s="37"/>
    </row>
    <row r="941">
      <c r="B941" s="37"/>
      <c r="U941" s="37"/>
    </row>
    <row r="942">
      <c r="B942" s="37"/>
      <c r="U942" s="37"/>
    </row>
    <row r="943">
      <c r="B943" s="37"/>
      <c r="U943" s="37"/>
    </row>
    <row r="944">
      <c r="B944" s="37"/>
      <c r="U944" s="37"/>
    </row>
    <row r="945">
      <c r="B945" s="37"/>
      <c r="U945" s="37"/>
    </row>
    <row r="946">
      <c r="B946" s="37"/>
      <c r="U946" s="37"/>
    </row>
    <row r="947">
      <c r="B947" s="37"/>
      <c r="U947" s="37"/>
    </row>
    <row r="948">
      <c r="B948" s="37"/>
      <c r="U948" s="37"/>
    </row>
    <row r="949">
      <c r="B949" s="37"/>
      <c r="U949" s="37"/>
    </row>
    <row r="950">
      <c r="B950" s="37"/>
      <c r="U950" s="37"/>
    </row>
    <row r="951">
      <c r="B951" s="37"/>
      <c r="U951" s="37"/>
    </row>
    <row r="952">
      <c r="B952" s="37"/>
      <c r="U952" s="37"/>
    </row>
    <row r="953">
      <c r="B953" s="37"/>
      <c r="U953" s="37"/>
    </row>
    <row r="954">
      <c r="B954" s="37"/>
      <c r="U954" s="37"/>
    </row>
    <row r="955">
      <c r="B955" s="37"/>
      <c r="U955" s="37"/>
    </row>
    <row r="956">
      <c r="B956" s="37"/>
      <c r="U956" s="37"/>
    </row>
    <row r="957">
      <c r="B957" s="37"/>
      <c r="U957" s="37"/>
    </row>
    <row r="958">
      <c r="B958" s="37"/>
      <c r="U958" s="37"/>
    </row>
    <row r="959">
      <c r="B959" s="37"/>
      <c r="U959" s="37"/>
    </row>
    <row r="960">
      <c r="B960" s="37"/>
      <c r="U960" s="37"/>
    </row>
    <row r="961">
      <c r="B961" s="37"/>
      <c r="U961" s="37"/>
    </row>
    <row r="962">
      <c r="B962" s="37"/>
      <c r="U962" s="37"/>
    </row>
    <row r="963">
      <c r="B963" s="37"/>
      <c r="U963" s="37"/>
    </row>
    <row r="964">
      <c r="B964" s="37"/>
      <c r="U964" s="37"/>
    </row>
    <row r="965">
      <c r="B965" s="37"/>
      <c r="U965" s="37"/>
    </row>
    <row r="966">
      <c r="B966" s="37"/>
      <c r="U966" s="37"/>
    </row>
    <row r="967">
      <c r="B967" s="37"/>
      <c r="U967" s="37"/>
    </row>
    <row r="968">
      <c r="B968" s="37"/>
      <c r="U968" s="37"/>
    </row>
    <row r="969">
      <c r="B969" s="37"/>
      <c r="U969" s="37"/>
    </row>
    <row r="970">
      <c r="B970" s="37"/>
      <c r="U970" s="37"/>
    </row>
    <row r="971">
      <c r="B971" s="37"/>
      <c r="U971" s="37"/>
    </row>
    <row r="972">
      <c r="B972" s="37"/>
      <c r="U972" s="37"/>
    </row>
    <row r="973">
      <c r="B973" s="37"/>
      <c r="U973" s="37"/>
    </row>
    <row r="974">
      <c r="B974" s="37"/>
      <c r="U974" s="37"/>
    </row>
    <row r="975">
      <c r="B975" s="37"/>
      <c r="U975" s="37"/>
    </row>
    <row r="976">
      <c r="B976" s="37"/>
      <c r="U976" s="37"/>
    </row>
    <row r="977">
      <c r="B977" s="37"/>
      <c r="U977" s="37"/>
    </row>
    <row r="978">
      <c r="B978" s="37"/>
      <c r="U978" s="37"/>
    </row>
    <row r="979">
      <c r="B979" s="37"/>
      <c r="U979" s="37"/>
    </row>
    <row r="980">
      <c r="B980" s="37"/>
      <c r="U980" s="37"/>
    </row>
    <row r="981">
      <c r="B981" s="37"/>
      <c r="U981" s="37"/>
    </row>
    <row r="982">
      <c r="B982" s="37"/>
      <c r="U982" s="37"/>
    </row>
    <row r="983">
      <c r="B983" s="37"/>
      <c r="U983" s="37"/>
    </row>
    <row r="984">
      <c r="B984" s="37"/>
      <c r="U984" s="37"/>
    </row>
    <row r="985">
      <c r="B985" s="37"/>
      <c r="U985" s="37"/>
    </row>
    <row r="986">
      <c r="B986" s="37"/>
      <c r="U986" s="37"/>
    </row>
    <row r="987">
      <c r="B987" s="37"/>
      <c r="U987" s="37"/>
    </row>
    <row r="988">
      <c r="B988" s="37"/>
      <c r="U988" s="37"/>
    </row>
    <row r="989">
      <c r="B989" s="37"/>
      <c r="U989" s="37"/>
    </row>
    <row r="990">
      <c r="B990" s="37"/>
      <c r="U990" s="37"/>
    </row>
    <row r="991">
      <c r="B991" s="37"/>
      <c r="U991" s="37"/>
    </row>
    <row r="992">
      <c r="B992" s="37"/>
      <c r="U992" s="37"/>
    </row>
    <row r="993">
      <c r="B993" s="37"/>
      <c r="U993" s="37"/>
    </row>
    <row r="994">
      <c r="B994" s="37"/>
      <c r="U994" s="37"/>
    </row>
    <row r="995">
      <c r="B995" s="37"/>
      <c r="U995" s="37"/>
    </row>
    <row r="996">
      <c r="B996" s="37"/>
      <c r="U996" s="37"/>
    </row>
    <row r="997">
      <c r="B997" s="37"/>
      <c r="U997" s="37"/>
    </row>
    <row r="998">
      <c r="B998" s="37"/>
      <c r="U998" s="37"/>
    </row>
    <row r="999">
      <c r="B999" s="37"/>
      <c r="U999" s="37"/>
    </row>
    <row r="1000">
      <c r="B1000" s="37"/>
      <c r="U1000" s="3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38" t="s">
        <v>848</v>
      </c>
      <c r="B1" s="2" t="s">
        <v>849</v>
      </c>
      <c r="C1" s="2" t="s">
        <v>850</v>
      </c>
      <c r="D1" s="2" t="s">
        <v>851</v>
      </c>
      <c r="E1" s="2" t="s">
        <v>852</v>
      </c>
      <c r="F1" s="2" t="s">
        <v>853</v>
      </c>
      <c r="G1" s="2" t="s">
        <v>854</v>
      </c>
      <c r="H1" s="2" t="s">
        <v>855</v>
      </c>
      <c r="I1" s="2" t="s">
        <v>856</v>
      </c>
      <c r="J1" s="2" t="s">
        <v>857</v>
      </c>
      <c r="K1" s="2" t="s">
        <v>858</v>
      </c>
      <c r="L1" s="2" t="s">
        <v>854</v>
      </c>
      <c r="M1" s="2" t="s">
        <v>859</v>
      </c>
      <c r="N1" s="2" t="s">
        <v>860</v>
      </c>
      <c r="O1" s="2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9"/>
      <c r="K2" s="40">
        <f>COUNTA(Dhan_Trade_Summary!A:A)-1</f>
        <v>0</v>
      </c>
      <c r="L2" s="40">
        <f>COUNTIFS(Dhan_Trade_Summary!R:R,"&gt;0")/COUNTA(Dhan_Trade_Summary!A:A)-1</f>
        <v>-1</v>
      </c>
      <c r="M2" s="40">
        <f>SUM(Dhan_Trade_Summary!R:R)</f>
        <v>0</v>
      </c>
      <c r="N2" s="40" t="str">
        <f>AVERAGE(Dhan_Trade_Summary!R:R)</f>
        <v>#DIV/0!</v>
      </c>
    </row>
    <row r="3">
      <c r="A3" s="39"/>
      <c r="K3" s="40">
        <f>COUNTA(Dhan_Trade_Summary!A:A)-1</f>
        <v>0</v>
      </c>
      <c r="L3" s="40">
        <f>COUNTIFS(Dhan_Trade_Summary!R:R,"&gt;0")/COUNTA(Dhan_Trade_Summary!A:A)-1</f>
        <v>-1</v>
      </c>
      <c r="M3" s="40">
        <f>SUM(Dhan_Trade_Summary!R:R)</f>
        <v>0</v>
      </c>
      <c r="N3" s="40" t="str">
        <f>AVERAGE(Dhan_Trade_Summary!R:R)</f>
        <v>#DIV/0!</v>
      </c>
    </row>
    <row r="4">
      <c r="A4" s="39"/>
      <c r="K4" s="40">
        <f>COUNTA(Dhan_Trade_Summary!A:A)-1</f>
        <v>0</v>
      </c>
      <c r="L4" s="40">
        <f>COUNTIFS(Dhan_Trade_Summary!R:R,"&gt;0")/COUNTA(Dhan_Trade_Summary!A:A)-1</f>
        <v>-1</v>
      </c>
      <c r="M4" s="40">
        <f>SUM(Dhan_Trade_Summary!R:R)</f>
        <v>0</v>
      </c>
      <c r="N4" s="40" t="str">
        <f>AVERAGE(Dhan_Trade_Summary!R:R)</f>
        <v>#DIV/0!</v>
      </c>
    </row>
    <row r="5">
      <c r="A5" s="39"/>
      <c r="K5" s="40">
        <f>COUNTA(Dhan_Trade_Summary!A:A)-1</f>
        <v>0</v>
      </c>
      <c r="L5" s="40">
        <f>COUNTIFS(Dhan_Trade_Summary!R:R,"&gt;0")/COUNTA(Dhan_Trade_Summary!A:A)-1</f>
        <v>-1</v>
      </c>
      <c r="M5" s="40">
        <f>SUM(Dhan_Trade_Summary!R:R)</f>
        <v>0</v>
      </c>
      <c r="N5" s="40" t="str">
        <f>AVERAGE(Dhan_Trade_Summary!R:R)</f>
        <v>#DIV/0!</v>
      </c>
    </row>
    <row r="6">
      <c r="A6" s="39"/>
      <c r="K6" s="40">
        <f>COUNTA(Dhan_Trade_Summary!A:A)-1</f>
        <v>0</v>
      </c>
      <c r="L6" s="40">
        <f>COUNTIFS(Dhan_Trade_Summary!R:R,"&gt;0")/COUNTA(Dhan_Trade_Summary!A:A)-1</f>
        <v>-1</v>
      </c>
      <c r="M6" s="40">
        <f>SUM(Dhan_Trade_Summary!R:R)</f>
        <v>0</v>
      </c>
      <c r="N6" s="40" t="str">
        <f>AVERAGE(Dhan_Trade_Summary!R:R)</f>
        <v>#DIV/0!</v>
      </c>
    </row>
    <row r="7">
      <c r="A7" s="39"/>
      <c r="K7" s="40">
        <f>COUNTA(Dhan_Trade_Summary!A:A)-1</f>
        <v>0</v>
      </c>
      <c r="L7" s="40">
        <f>COUNTIFS(Dhan_Trade_Summary!R:R,"&gt;0")/COUNTA(Dhan_Trade_Summary!A:A)-1</f>
        <v>-1</v>
      </c>
      <c r="M7" s="40">
        <f>SUM(Dhan_Trade_Summary!R:R)</f>
        <v>0</v>
      </c>
      <c r="N7" s="40" t="str">
        <f>AVERAGE(Dhan_Trade_Summary!R:R)</f>
        <v>#DIV/0!</v>
      </c>
    </row>
    <row r="8">
      <c r="A8" s="39"/>
      <c r="K8" s="40">
        <f>COUNTA(Dhan_Trade_Summary!A:A)-1</f>
        <v>0</v>
      </c>
      <c r="L8" s="40">
        <f>COUNTIFS(Dhan_Trade_Summary!R:R,"&gt;0")/COUNTA(Dhan_Trade_Summary!A:A)-1</f>
        <v>-1</v>
      </c>
      <c r="M8" s="40">
        <f>SUM(Dhan_Trade_Summary!R:R)</f>
        <v>0</v>
      </c>
      <c r="N8" s="40" t="str">
        <f>AVERAGE(Dhan_Trade_Summary!R:R)</f>
        <v>#DIV/0!</v>
      </c>
    </row>
    <row r="9">
      <c r="A9" s="39"/>
      <c r="K9" s="40">
        <f>COUNTA(Dhan_Trade_Summary!A:A)-1</f>
        <v>0</v>
      </c>
      <c r="L9" s="40">
        <f>COUNTIFS(Dhan_Trade_Summary!R:R,"&gt;0")/COUNTA(Dhan_Trade_Summary!A:A)-1</f>
        <v>-1</v>
      </c>
      <c r="M9" s="40">
        <f>SUM(Dhan_Trade_Summary!R:R)</f>
        <v>0</v>
      </c>
      <c r="N9" s="40" t="str">
        <f>AVERAGE(Dhan_Trade_Summary!R:R)</f>
        <v>#DIV/0!</v>
      </c>
    </row>
    <row r="10">
      <c r="A10" s="39"/>
      <c r="K10" s="40">
        <f>COUNTA(Dhan_Trade_Summary!A:A)-1</f>
        <v>0</v>
      </c>
      <c r="L10" s="40">
        <f>COUNTIFS(Dhan_Trade_Summary!R:R,"&gt;0")/COUNTA(Dhan_Trade_Summary!A:A)-1</f>
        <v>-1</v>
      </c>
      <c r="M10" s="40">
        <f>SUM(Dhan_Trade_Summary!R:R)</f>
        <v>0</v>
      </c>
      <c r="N10" s="40" t="str">
        <f>AVERAGE(Dhan_Trade_Summary!R:R)</f>
        <v>#DIV/0!</v>
      </c>
    </row>
    <row r="11">
      <c r="A11" s="39"/>
      <c r="K11" s="40">
        <f>COUNTA(Dhan_Trade_Summary!A:A)-1</f>
        <v>0</v>
      </c>
      <c r="L11" s="40">
        <f>COUNTIFS(Dhan_Trade_Summary!R:R,"&gt;0")/COUNTA(Dhan_Trade_Summary!A:A)-1</f>
        <v>-1</v>
      </c>
      <c r="M11" s="40">
        <f>SUM(Dhan_Trade_Summary!R:R)</f>
        <v>0</v>
      </c>
      <c r="N11" s="40" t="str">
        <f>AVERAGE(Dhan_Trade_Summary!R:R)</f>
        <v>#DIV/0!</v>
      </c>
    </row>
    <row r="12">
      <c r="A12" s="39"/>
      <c r="K12" s="40">
        <f>COUNTA(Dhan_Trade_Summary!A:A)-1</f>
        <v>0</v>
      </c>
      <c r="L12" s="40">
        <f>COUNTIFS(Dhan_Trade_Summary!R:R,"&gt;0")/COUNTA(Dhan_Trade_Summary!A:A)-1</f>
        <v>-1</v>
      </c>
      <c r="M12" s="40">
        <f>SUM(Dhan_Trade_Summary!R:R)</f>
        <v>0</v>
      </c>
      <c r="N12" s="40" t="str">
        <f>AVERAGE(Dhan_Trade_Summary!R:R)</f>
        <v>#DIV/0!</v>
      </c>
    </row>
    <row r="13">
      <c r="A13" s="39"/>
      <c r="K13" s="40">
        <f>COUNTA(Dhan_Trade_Summary!A:A)-1</f>
        <v>0</v>
      </c>
      <c r="L13" s="40">
        <f>COUNTIFS(Dhan_Trade_Summary!R:R,"&gt;0")/COUNTA(Dhan_Trade_Summary!A:A)-1</f>
        <v>-1</v>
      </c>
      <c r="M13" s="40">
        <f>SUM(Dhan_Trade_Summary!R:R)</f>
        <v>0</v>
      </c>
      <c r="N13" s="40" t="str">
        <f>AVERAGE(Dhan_Trade_Summary!R:R)</f>
        <v>#DIV/0!</v>
      </c>
    </row>
    <row r="14">
      <c r="A14" s="39"/>
      <c r="K14" s="40">
        <f>COUNTA(Dhan_Trade_Summary!A:A)-1</f>
        <v>0</v>
      </c>
      <c r="L14" s="40">
        <f>COUNTIFS(Dhan_Trade_Summary!R:R,"&gt;0")/COUNTA(Dhan_Trade_Summary!A:A)-1</f>
        <v>-1</v>
      </c>
      <c r="M14" s="40">
        <f>SUM(Dhan_Trade_Summary!R:R)</f>
        <v>0</v>
      </c>
      <c r="N14" s="40" t="str">
        <f>AVERAGE(Dhan_Trade_Summary!R:R)</f>
        <v>#DIV/0!</v>
      </c>
    </row>
    <row r="15">
      <c r="A15" s="39"/>
      <c r="K15" s="40">
        <f>COUNTA(Dhan_Trade_Summary!A:A)-1</f>
        <v>0</v>
      </c>
      <c r="L15" s="40">
        <f>COUNTIFS(Dhan_Trade_Summary!R:R,"&gt;0")/COUNTA(Dhan_Trade_Summary!A:A)-1</f>
        <v>-1</v>
      </c>
      <c r="M15" s="40">
        <f>SUM(Dhan_Trade_Summary!R:R)</f>
        <v>0</v>
      </c>
      <c r="N15" s="40" t="str">
        <f>AVERAGE(Dhan_Trade_Summary!R:R)</f>
        <v>#DIV/0!</v>
      </c>
    </row>
    <row r="16">
      <c r="A16" s="39"/>
      <c r="K16" s="40">
        <f>COUNTA(Dhan_Trade_Summary!A:A)-1</f>
        <v>0</v>
      </c>
      <c r="L16" s="40">
        <f>COUNTIFS(Dhan_Trade_Summary!R:R,"&gt;0")/COUNTA(Dhan_Trade_Summary!A:A)-1</f>
        <v>-1</v>
      </c>
      <c r="M16" s="40">
        <f>SUM(Dhan_Trade_Summary!R:R)</f>
        <v>0</v>
      </c>
      <c r="N16" s="40" t="str">
        <f>AVERAGE(Dhan_Trade_Summary!R:R)</f>
        <v>#DIV/0!</v>
      </c>
    </row>
    <row r="17">
      <c r="A17" s="39"/>
      <c r="K17" s="40">
        <f>COUNTA(Dhan_Trade_Summary!A:A)-1</f>
        <v>0</v>
      </c>
      <c r="L17" s="40">
        <f>COUNTIFS(Dhan_Trade_Summary!R:R,"&gt;0")/COUNTA(Dhan_Trade_Summary!A:A)-1</f>
        <v>-1</v>
      </c>
      <c r="M17" s="40">
        <f>SUM(Dhan_Trade_Summary!R:R)</f>
        <v>0</v>
      </c>
      <c r="N17" s="40" t="str">
        <f>AVERAGE(Dhan_Trade_Summary!R:R)</f>
        <v>#DIV/0!</v>
      </c>
    </row>
    <row r="18">
      <c r="A18" s="39"/>
      <c r="K18" s="40">
        <f>COUNTA(Dhan_Trade_Summary!A:A)-1</f>
        <v>0</v>
      </c>
      <c r="L18" s="40">
        <f>COUNTIFS(Dhan_Trade_Summary!R:R,"&gt;0")/COUNTA(Dhan_Trade_Summary!A:A)-1</f>
        <v>-1</v>
      </c>
      <c r="M18" s="40">
        <f>SUM(Dhan_Trade_Summary!R:R)</f>
        <v>0</v>
      </c>
      <c r="N18" s="40" t="str">
        <f>AVERAGE(Dhan_Trade_Summary!R:R)</f>
        <v>#DIV/0!</v>
      </c>
    </row>
    <row r="19">
      <c r="A19" s="39"/>
      <c r="K19" s="40">
        <f>COUNTA(Dhan_Trade_Summary!A:A)-1</f>
        <v>0</v>
      </c>
      <c r="L19" s="40">
        <f>COUNTIFS(Dhan_Trade_Summary!R:R,"&gt;0")/COUNTA(Dhan_Trade_Summary!A:A)-1</f>
        <v>-1</v>
      </c>
      <c r="M19" s="40">
        <f>SUM(Dhan_Trade_Summary!R:R)</f>
        <v>0</v>
      </c>
      <c r="N19" s="40" t="str">
        <f>AVERAGE(Dhan_Trade_Summary!R:R)</f>
        <v>#DIV/0!</v>
      </c>
    </row>
    <row r="20">
      <c r="A20" s="39"/>
      <c r="K20" s="40">
        <f>COUNTA(Dhan_Trade_Summary!A:A)-1</f>
        <v>0</v>
      </c>
      <c r="L20" s="40">
        <f>COUNTIFS(Dhan_Trade_Summary!R:R,"&gt;0")/COUNTA(Dhan_Trade_Summary!A:A)-1</f>
        <v>-1</v>
      </c>
      <c r="M20" s="40">
        <f>SUM(Dhan_Trade_Summary!R:R)</f>
        <v>0</v>
      </c>
      <c r="N20" s="40" t="str">
        <f>AVERAGE(Dhan_Trade_Summary!R:R)</f>
        <v>#DIV/0!</v>
      </c>
    </row>
    <row r="21">
      <c r="A21" s="39"/>
      <c r="K21" s="40">
        <f>COUNTA(Dhan_Trade_Summary!A:A)-1</f>
        <v>0</v>
      </c>
      <c r="L21" s="40">
        <f>COUNTIFS(Dhan_Trade_Summary!R:R,"&gt;0")/COUNTA(Dhan_Trade_Summary!A:A)-1</f>
        <v>-1</v>
      </c>
      <c r="M21" s="40">
        <f>SUM(Dhan_Trade_Summary!R:R)</f>
        <v>0</v>
      </c>
      <c r="N21" s="40" t="str">
        <f>AVERAGE(Dhan_Trade_Summary!R:R)</f>
        <v>#DIV/0!</v>
      </c>
    </row>
    <row r="22">
      <c r="A22" s="39"/>
      <c r="K22" s="40">
        <f>COUNTA(Dhan_Trade_Summary!A:A)-1</f>
        <v>0</v>
      </c>
      <c r="L22" s="40">
        <f>COUNTIFS(Dhan_Trade_Summary!R:R,"&gt;0")/COUNTA(Dhan_Trade_Summary!A:A)-1</f>
        <v>-1</v>
      </c>
      <c r="M22" s="40">
        <f>SUM(Dhan_Trade_Summary!R:R)</f>
        <v>0</v>
      </c>
      <c r="N22" s="40" t="str">
        <f>AVERAGE(Dhan_Trade_Summary!R:R)</f>
        <v>#DIV/0!</v>
      </c>
    </row>
    <row r="23">
      <c r="A23" s="39"/>
      <c r="K23" s="40">
        <f>COUNTA(Dhan_Trade_Summary!A:A)-1</f>
        <v>0</v>
      </c>
      <c r="L23" s="40">
        <f>COUNTIFS(Dhan_Trade_Summary!R:R,"&gt;0")/COUNTA(Dhan_Trade_Summary!A:A)-1</f>
        <v>-1</v>
      </c>
      <c r="M23" s="40">
        <f>SUM(Dhan_Trade_Summary!R:R)</f>
        <v>0</v>
      </c>
      <c r="N23" s="40" t="str">
        <f>AVERAGE(Dhan_Trade_Summary!R:R)</f>
        <v>#DIV/0!</v>
      </c>
    </row>
    <row r="24">
      <c r="A24" s="39"/>
      <c r="K24" s="40">
        <f>COUNTA(Dhan_Trade_Summary!A:A)-1</f>
        <v>0</v>
      </c>
      <c r="L24" s="40">
        <f>COUNTIFS(Dhan_Trade_Summary!R:R,"&gt;0")/COUNTA(Dhan_Trade_Summary!A:A)-1</f>
        <v>-1</v>
      </c>
      <c r="M24" s="40">
        <f>SUM(Dhan_Trade_Summary!R:R)</f>
        <v>0</v>
      </c>
      <c r="N24" s="40" t="str">
        <f>AVERAGE(Dhan_Trade_Summary!R:R)</f>
        <v>#DIV/0!</v>
      </c>
    </row>
    <row r="25">
      <c r="A25" s="39"/>
      <c r="K25" s="40">
        <f>COUNTA(Dhan_Trade_Summary!A:A)-1</f>
        <v>0</v>
      </c>
      <c r="L25" s="40">
        <f>COUNTIFS(Dhan_Trade_Summary!R:R,"&gt;0")/COUNTA(Dhan_Trade_Summary!A:A)-1</f>
        <v>-1</v>
      </c>
      <c r="M25" s="40">
        <f>SUM(Dhan_Trade_Summary!R:R)</f>
        <v>0</v>
      </c>
      <c r="N25" s="40" t="str">
        <f>AVERAGE(Dhan_Trade_Summary!R:R)</f>
        <v>#DIV/0!</v>
      </c>
    </row>
    <row r="26">
      <c r="A26" s="39"/>
      <c r="K26" s="40">
        <f>COUNTA(Dhan_Trade_Summary!A:A)-1</f>
        <v>0</v>
      </c>
      <c r="L26" s="40">
        <f>COUNTIFS(Dhan_Trade_Summary!R:R,"&gt;0")/COUNTA(Dhan_Trade_Summary!A:A)-1</f>
        <v>-1</v>
      </c>
      <c r="M26" s="40">
        <f>SUM(Dhan_Trade_Summary!R:R)</f>
        <v>0</v>
      </c>
      <c r="N26" s="40" t="str">
        <f>AVERAGE(Dhan_Trade_Summary!R:R)</f>
        <v>#DIV/0!</v>
      </c>
    </row>
    <row r="27">
      <c r="A27" s="39"/>
      <c r="K27" s="40">
        <f>COUNTA(Dhan_Trade_Summary!A:A)-1</f>
        <v>0</v>
      </c>
      <c r="L27" s="40">
        <f>COUNTIFS(Dhan_Trade_Summary!R:R,"&gt;0")/COUNTA(Dhan_Trade_Summary!A:A)-1</f>
        <v>-1</v>
      </c>
      <c r="M27" s="40">
        <f>SUM(Dhan_Trade_Summary!R:R)</f>
        <v>0</v>
      </c>
      <c r="N27" s="40" t="str">
        <f>AVERAGE(Dhan_Trade_Summary!R:R)</f>
        <v>#DIV/0!</v>
      </c>
    </row>
    <row r="28">
      <c r="A28" s="39"/>
      <c r="K28" s="40">
        <f>COUNTA(Dhan_Trade_Summary!A:A)-1</f>
        <v>0</v>
      </c>
      <c r="L28" s="40">
        <f>COUNTIFS(Dhan_Trade_Summary!R:R,"&gt;0")/COUNTA(Dhan_Trade_Summary!A:A)-1</f>
        <v>-1</v>
      </c>
      <c r="M28" s="40">
        <f>SUM(Dhan_Trade_Summary!R:R)</f>
        <v>0</v>
      </c>
      <c r="N28" s="40" t="str">
        <f>AVERAGE(Dhan_Trade_Summary!R:R)</f>
        <v>#DIV/0!</v>
      </c>
    </row>
    <row r="29">
      <c r="A29" s="39"/>
      <c r="K29" s="40">
        <f>COUNTA(Dhan_Trade_Summary!A:A)-1</f>
        <v>0</v>
      </c>
      <c r="L29" s="40">
        <f>COUNTIFS(Dhan_Trade_Summary!R:R,"&gt;0")/COUNTA(Dhan_Trade_Summary!A:A)-1</f>
        <v>-1</v>
      </c>
      <c r="M29" s="40">
        <f>SUM(Dhan_Trade_Summary!R:R)</f>
        <v>0</v>
      </c>
      <c r="N29" s="40" t="str">
        <f>AVERAGE(Dhan_Trade_Summary!R:R)</f>
        <v>#DIV/0!</v>
      </c>
    </row>
    <row r="30">
      <c r="A30" s="39"/>
      <c r="K30" s="40">
        <f>COUNTA(Dhan_Trade_Summary!A:A)-1</f>
        <v>0</v>
      </c>
      <c r="L30" s="40">
        <f>COUNTIFS(Dhan_Trade_Summary!R:R,"&gt;0")/COUNTA(Dhan_Trade_Summary!A:A)-1</f>
        <v>-1</v>
      </c>
      <c r="M30" s="40">
        <f>SUM(Dhan_Trade_Summary!R:R)</f>
        <v>0</v>
      </c>
      <c r="N30" s="40" t="str">
        <f>AVERAGE(Dhan_Trade_Summary!R:R)</f>
        <v>#DIV/0!</v>
      </c>
    </row>
    <row r="31">
      <c r="A31" s="39"/>
      <c r="K31" s="40">
        <f>COUNTA(Dhan_Trade_Summary!A:A)-1</f>
        <v>0</v>
      </c>
      <c r="L31" s="40">
        <f>COUNTIFS(Dhan_Trade_Summary!R:R,"&gt;0")/COUNTA(Dhan_Trade_Summary!A:A)-1</f>
        <v>-1</v>
      </c>
      <c r="M31" s="40">
        <f>SUM(Dhan_Trade_Summary!R:R)</f>
        <v>0</v>
      </c>
      <c r="N31" s="40" t="str">
        <f>AVERAGE(Dhan_Trade_Summary!R:R)</f>
        <v>#DIV/0!</v>
      </c>
    </row>
    <row r="32">
      <c r="A32" s="39"/>
      <c r="K32" s="40">
        <f>COUNTA(Dhan_Trade_Summary!A:A)-1</f>
        <v>0</v>
      </c>
      <c r="L32" s="40">
        <f>COUNTIFS(Dhan_Trade_Summary!R:R,"&gt;0")/COUNTA(Dhan_Trade_Summary!A:A)-1</f>
        <v>-1</v>
      </c>
      <c r="M32" s="40">
        <f>SUM(Dhan_Trade_Summary!R:R)</f>
        <v>0</v>
      </c>
      <c r="N32" s="40" t="str">
        <f>AVERAGE(Dhan_Trade_Summary!R:R)</f>
        <v>#DIV/0!</v>
      </c>
    </row>
    <row r="33">
      <c r="A33" s="39"/>
      <c r="K33" s="40">
        <f>COUNTA(Dhan_Trade_Summary!A:A)-1</f>
        <v>0</v>
      </c>
      <c r="L33" s="40">
        <f>COUNTIFS(Dhan_Trade_Summary!R:R,"&gt;0")/COUNTA(Dhan_Trade_Summary!A:A)-1</f>
        <v>-1</v>
      </c>
      <c r="M33" s="40">
        <f>SUM(Dhan_Trade_Summary!R:R)</f>
        <v>0</v>
      </c>
      <c r="N33" s="40" t="str">
        <f>AVERAGE(Dhan_Trade_Summary!R:R)</f>
        <v>#DIV/0!</v>
      </c>
    </row>
    <row r="34">
      <c r="A34" s="39"/>
      <c r="K34" s="40">
        <f>COUNTA(Dhan_Trade_Summary!A:A)-1</f>
        <v>0</v>
      </c>
      <c r="L34" s="40">
        <f>COUNTIFS(Dhan_Trade_Summary!R:R,"&gt;0")/COUNTA(Dhan_Trade_Summary!A:A)-1</f>
        <v>-1</v>
      </c>
      <c r="M34" s="40">
        <f>SUM(Dhan_Trade_Summary!R:R)</f>
        <v>0</v>
      </c>
      <c r="N34" s="40" t="str">
        <f>AVERAGE(Dhan_Trade_Summary!R:R)</f>
        <v>#DIV/0!</v>
      </c>
    </row>
    <row r="35">
      <c r="A35" s="39"/>
      <c r="K35" s="40">
        <f>COUNTA(Dhan_Trade_Summary!A:A)-1</f>
        <v>0</v>
      </c>
      <c r="L35" s="40">
        <f>COUNTIFS(Dhan_Trade_Summary!R:R,"&gt;0")/COUNTA(Dhan_Trade_Summary!A:A)-1</f>
        <v>-1</v>
      </c>
      <c r="M35" s="40">
        <f>SUM(Dhan_Trade_Summary!R:R)</f>
        <v>0</v>
      </c>
      <c r="N35" s="40" t="str">
        <f>AVERAGE(Dhan_Trade_Summary!R:R)</f>
        <v>#DIV/0!</v>
      </c>
    </row>
    <row r="36">
      <c r="A36" s="39"/>
      <c r="K36" s="40">
        <f>COUNTA(Dhan_Trade_Summary!A:A)-1</f>
        <v>0</v>
      </c>
      <c r="L36" s="40">
        <f>COUNTIFS(Dhan_Trade_Summary!R:R,"&gt;0")/COUNTA(Dhan_Trade_Summary!A:A)-1</f>
        <v>-1</v>
      </c>
      <c r="M36" s="40">
        <f>SUM(Dhan_Trade_Summary!R:R)</f>
        <v>0</v>
      </c>
      <c r="N36" s="40" t="str">
        <f>AVERAGE(Dhan_Trade_Summary!R:R)</f>
        <v>#DIV/0!</v>
      </c>
    </row>
    <row r="37">
      <c r="A37" s="39"/>
      <c r="K37" s="40">
        <f>COUNTA(Dhan_Trade_Summary!A:A)-1</f>
        <v>0</v>
      </c>
      <c r="L37" s="40">
        <f>COUNTIFS(Dhan_Trade_Summary!R:R,"&gt;0")/COUNTA(Dhan_Trade_Summary!A:A)-1</f>
        <v>-1</v>
      </c>
      <c r="M37" s="40">
        <f>SUM(Dhan_Trade_Summary!R:R)</f>
        <v>0</v>
      </c>
      <c r="N37" s="40" t="str">
        <f>AVERAGE(Dhan_Trade_Summary!R:R)</f>
        <v>#DIV/0!</v>
      </c>
    </row>
    <row r="38">
      <c r="A38" s="39"/>
      <c r="K38" s="40">
        <f>COUNTA(Dhan_Trade_Summary!A:A)-1</f>
        <v>0</v>
      </c>
      <c r="L38" s="40">
        <f>COUNTIFS(Dhan_Trade_Summary!R:R,"&gt;0")/COUNTA(Dhan_Trade_Summary!A:A)-1</f>
        <v>-1</v>
      </c>
      <c r="M38" s="40">
        <f>SUM(Dhan_Trade_Summary!R:R)</f>
        <v>0</v>
      </c>
      <c r="N38" s="40" t="str">
        <f>AVERAGE(Dhan_Trade_Summary!R:R)</f>
        <v>#DIV/0!</v>
      </c>
    </row>
    <row r="39">
      <c r="A39" s="39"/>
      <c r="K39" s="40">
        <f>COUNTA(Dhan_Trade_Summary!A:A)-1</f>
        <v>0</v>
      </c>
      <c r="L39" s="40">
        <f>COUNTIFS(Dhan_Trade_Summary!R:R,"&gt;0")/COUNTA(Dhan_Trade_Summary!A:A)-1</f>
        <v>-1</v>
      </c>
      <c r="M39" s="40">
        <f>SUM(Dhan_Trade_Summary!R:R)</f>
        <v>0</v>
      </c>
      <c r="N39" s="40" t="str">
        <f>AVERAGE(Dhan_Trade_Summary!R:R)</f>
        <v>#DIV/0!</v>
      </c>
    </row>
    <row r="40">
      <c r="A40" s="39"/>
      <c r="K40" s="40">
        <f>COUNTA(Dhan_Trade_Summary!A:A)-1</f>
        <v>0</v>
      </c>
      <c r="L40" s="40">
        <f>COUNTIFS(Dhan_Trade_Summary!R:R,"&gt;0")/COUNTA(Dhan_Trade_Summary!A:A)-1</f>
        <v>-1</v>
      </c>
      <c r="M40" s="40">
        <f>SUM(Dhan_Trade_Summary!R:R)</f>
        <v>0</v>
      </c>
      <c r="N40" s="40" t="str">
        <f>AVERAGE(Dhan_Trade_Summary!R:R)</f>
        <v>#DIV/0!</v>
      </c>
    </row>
    <row r="41">
      <c r="A41" s="39"/>
      <c r="K41" s="40">
        <f>COUNTA(Dhan_Trade_Summary!A:A)-1</f>
        <v>0</v>
      </c>
      <c r="L41" s="40">
        <f>COUNTIFS(Dhan_Trade_Summary!R:R,"&gt;0")/COUNTA(Dhan_Trade_Summary!A:A)-1</f>
        <v>-1</v>
      </c>
      <c r="M41" s="40">
        <f>SUM(Dhan_Trade_Summary!R:R)</f>
        <v>0</v>
      </c>
      <c r="N41" s="40" t="str">
        <f>AVERAGE(Dhan_Trade_Summary!R:R)</f>
        <v>#DIV/0!</v>
      </c>
    </row>
    <row r="42">
      <c r="A42" s="39"/>
      <c r="K42" s="40">
        <f>COUNTA(Dhan_Trade_Summary!A:A)-1</f>
        <v>0</v>
      </c>
      <c r="L42" s="40">
        <f>COUNTIFS(Dhan_Trade_Summary!R:R,"&gt;0")/COUNTA(Dhan_Trade_Summary!A:A)-1</f>
        <v>-1</v>
      </c>
      <c r="M42" s="40">
        <f>SUM(Dhan_Trade_Summary!R:R)</f>
        <v>0</v>
      </c>
      <c r="N42" s="40" t="str">
        <f>AVERAGE(Dhan_Trade_Summary!R:R)</f>
        <v>#DIV/0!</v>
      </c>
    </row>
    <row r="43">
      <c r="A43" s="39"/>
      <c r="K43" s="40">
        <f>COUNTA(Dhan_Trade_Summary!A:A)-1</f>
        <v>0</v>
      </c>
      <c r="L43" s="40">
        <f>COUNTIFS(Dhan_Trade_Summary!R:R,"&gt;0")/COUNTA(Dhan_Trade_Summary!A:A)-1</f>
        <v>-1</v>
      </c>
      <c r="M43" s="40">
        <f>SUM(Dhan_Trade_Summary!R:R)</f>
        <v>0</v>
      </c>
      <c r="N43" s="40" t="str">
        <f>AVERAGE(Dhan_Trade_Summary!R:R)</f>
        <v>#DIV/0!</v>
      </c>
    </row>
    <row r="44">
      <c r="A44" s="39"/>
      <c r="K44" s="40">
        <f>COUNTA(Dhan_Trade_Summary!A:A)-1</f>
        <v>0</v>
      </c>
      <c r="L44" s="40">
        <f>COUNTIFS(Dhan_Trade_Summary!R:R,"&gt;0")/COUNTA(Dhan_Trade_Summary!A:A)-1</f>
        <v>-1</v>
      </c>
      <c r="M44" s="40">
        <f>SUM(Dhan_Trade_Summary!R:R)</f>
        <v>0</v>
      </c>
      <c r="N44" s="40" t="str">
        <f>AVERAGE(Dhan_Trade_Summary!R:R)</f>
        <v>#DIV/0!</v>
      </c>
    </row>
    <row r="45">
      <c r="A45" s="39"/>
      <c r="K45" s="40">
        <f>COUNTA(Dhan_Trade_Summary!A:A)-1</f>
        <v>0</v>
      </c>
      <c r="L45" s="40">
        <f>COUNTIFS(Dhan_Trade_Summary!R:R,"&gt;0")/COUNTA(Dhan_Trade_Summary!A:A)-1</f>
        <v>-1</v>
      </c>
      <c r="M45" s="40">
        <f>SUM(Dhan_Trade_Summary!R:R)</f>
        <v>0</v>
      </c>
      <c r="N45" s="40" t="str">
        <f>AVERAGE(Dhan_Trade_Summary!R:R)</f>
        <v>#DIV/0!</v>
      </c>
    </row>
    <row r="46">
      <c r="A46" s="39"/>
      <c r="K46" s="40">
        <f>COUNTA(Dhan_Trade_Summary!A:A)-1</f>
        <v>0</v>
      </c>
      <c r="L46" s="40">
        <f>COUNTIFS(Dhan_Trade_Summary!R:R,"&gt;0")/COUNTA(Dhan_Trade_Summary!A:A)-1</f>
        <v>-1</v>
      </c>
      <c r="M46" s="40">
        <f>SUM(Dhan_Trade_Summary!R:R)</f>
        <v>0</v>
      </c>
      <c r="N46" s="40" t="str">
        <f>AVERAGE(Dhan_Trade_Summary!R:R)</f>
        <v>#DIV/0!</v>
      </c>
    </row>
    <row r="47">
      <c r="A47" s="39"/>
      <c r="K47" s="40">
        <f>COUNTA(Dhan_Trade_Summary!A:A)-1</f>
        <v>0</v>
      </c>
      <c r="L47" s="40">
        <f>COUNTIFS(Dhan_Trade_Summary!R:R,"&gt;0")/COUNTA(Dhan_Trade_Summary!A:A)-1</f>
        <v>-1</v>
      </c>
      <c r="M47" s="40">
        <f>SUM(Dhan_Trade_Summary!R:R)</f>
        <v>0</v>
      </c>
      <c r="N47" s="40" t="str">
        <f>AVERAGE(Dhan_Trade_Summary!R:R)</f>
        <v>#DIV/0!</v>
      </c>
    </row>
    <row r="48">
      <c r="A48" s="39"/>
      <c r="K48" s="40">
        <f>COUNTA(Dhan_Trade_Summary!A:A)-1</f>
        <v>0</v>
      </c>
      <c r="L48" s="40">
        <f>COUNTIFS(Dhan_Trade_Summary!R:R,"&gt;0")/COUNTA(Dhan_Trade_Summary!A:A)-1</f>
        <v>-1</v>
      </c>
      <c r="M48" s="40">
        <f>SUM(Dhan_Trade_Summary!R:R)</f>
        <v>0</v>
      </c>
      <c r="N48" s="40" t="str">
        <f>AVERAGE(Dhan_Trade_Summary!R:R)</f>
        <v>#DIV/0!</v>
      </c>
    </row>
    <row r="49">
      <c r="A49" s="39"/>
      <c r="K49" s="40">
        <f>COUNTA(Dhan_Trade_Summary!A:A)-1</f>
        <v>0</v>
      </c>
      <c r="L49" s="40">
        <f>COUNTIFS(Dhan_Trade_Summary!R:R,"&gt;0")/COUNTA(Dhan_Trade_Summary!A:A)-1</f>
        <v>-1</v>
      </c>
      <c r="M49" s="40">
        <f>SUM(Dhan_Trade_Summary!R:R)</f>
        <v>0</v>
      </c>
      <c r="N49" s="40" t="str">
        <f>AVERAGE(Dhan_Trade_Summary!R:R)</f>
        <v>#DIV/0!</v>
      </c>
    </row>
    <row r="50">
      <c r="A50" s="39"/>
      <c r="K50" s="40">
        <f>COUNTA(Dhan_Trade_Summary!A:A)-1</f>
        <v>0</v>
      </c>
      <c r="L50" s="40">
        <f>COUNTIFS(Dhan_Trade_Summary!R:R,"&gt;0")/COUNTA(Dhan_Trade_Summary!A:A)-1</f>
        <v>-1</v>
      </c>
      <c r="M50" s="40">
        <f>SUM(Dhan_Trade_Summary!R:R)</f>
        <v>0</v>
      </c>
      <c r="N50" s="40" t="str">
        <f>AVERAGE(Dhan_Trade_Summary!R:R)</f>
        <v>#DIV/0!</v>
      </c>
    </row>
    <row r="51">
      <c r="A51" s="39"/>
      <c r="K51" s="40">
        <f>COUNTA(Dhan_Trade_Summary!A:A)-1</f>
        <v>0</v>
      </c>
      <c r="L51" s="40">
        <f>COUNTIFS(Dhan_Trade_Summary!R:R,"&gt;0")/COUNTA(Dhan_Trade_Summary!A:A)-1</f>
        <v>-1</v>
      </c>
      <c r="M51" s="40">
        <f>SUM(Dhan_Trade_Summary!R:R)</f>
        <v>0</v>
      </c>
      <c r="N51" s="40" t="str">
        <f>AVERAGE(Dhan_Trade_Summary!R:R)</f>
        <v>#DIV/0!</v>
      </c>
    </row>
    <row r="52">
      <c r="A52" s="39"/>
      <c r="K52" s="40">
        <f>COUNTA(Dhan_Trade_Summary!A:A)-1</f>
        <v>0</v>
      </c>
      <c r="L52" s="40">
        <f>COUNTIFS(Dhan_Trade_Summary!R:R,"&gt;0")/COUNTA(Dhan_Trade_Summary!A:A)-1</f>
        <v>-1</v>
      </c>
      <c r="M52" s="40">
        <f>SUM(Dhan_Trade_Summary!R:R)</f>
        <v>0</v>
      </c>
      <c r="N52" s="40" t="str">
        <f>AVERAGE(Dhan_Trade_Summary!R:R)</f>
        <v>#DIV/0!</v>
      </c>
    </row>
    <row r="53">
      <c r="A53" s="39"/>
      <c r="K53" s="40">
        <f>COUNTA(Dhan_Trade_Summary!A:A)-1</f>
        <v>0</v>
      </c>
      <c r="L53" s="40">
        <f>COUNTIFS(Dhan_Trade_Summary!R:R,"&gt;0")/COUNTA(Dhan_Trade_Summary!A:A)-1</f>
        <v>-1</v>
      </c>
      <c r="M53" s="40">
        <f>SUM(Dhan_Trade_Summary!R:R)</f>
        <v>0</v>
      </c>
      <c r="N53" s="40" t="str">
        <f>AVERAGE(Dhan_Trade_Summary!R:R)</f>
        <v>#DIV/0!</v>
      </c>
    </row>
    <row r="54">
      <c r="A54" s="39"/>
      <c r="K54" s="40">
        <f>COUNTA(Dhan_Trade_Summary!A:A)-1</f>
        <v>0</v>
      </c>
      <c r="L54" s="40">
        <f>COUNTIFS(Dhan_Trade_Summary!R:R,"&gt;0")/COUNTA(Dhan_Trade_Summary!A:A)-1</f>
        <v>-1</v>
      </c>
      <c r="M54" s="40">
        <f>SUM(Dhan_Trade_Summary!R:R)</f>
        <v>0</v>
      </c>
      <c r="N54" s="40" t="str">
        <f>AVERAGE(Dhan_Trade_Summary!R:R)</f>
        <v>#DIV/0!</v>
      </c>
    </row>
    <row r="55">
      <c r="A55" s="39"/>
      <c r="K55" s="40">
        <f>COUNTA(Dhan_Trade_Summary!A:A)-1</f>
        <v>0</v>
      </c>
      <c r="L55" s="40">
        <f>COUNTIFS(Dhan_Trade_Summary!R:R,"&gt;0")/COUNTA(Dhan_Trade_Summary!A:A)-1</f>
        <v>-1</v>
      </c>
      <c r="M55" s="40">
        <f>SUM(Dhan_Trade_Summary!R:R)</f>
        <v>0</v>
      </c>
      <c r="N55" s="40" t="str">
        <f>AVERAGE(Dhan_Trade_Summary!R:R)</f>
        <v>#DIV/0!</v>
      </c>
    </row>
    <row r="56">
      <c r="A56" s="39"/>
      <c r="K56" s="40">
        <f>COUNTA(Dhan_Trade_Summary!A:A)-1</f>
        <v>0</v>
      </c>
      <c r="L56" s="40">
        <f>COUNTIFS(Dhan_Trade_Summary!R:R,"&gt;0")/COUNTA(Dhan_Trade_Summary!A:A)-1</f>
        <v>-1</v>
      </c>
      <c r="M56" s="40">
        <f>SUM(Dhan_Trade_Summary!R:R)</f>
        <v>0</v>
      </c>
      <c r="N56" s="40" t="str">
        <f>AVERAGE(Dhan_Trade_Summary!R:R)</f>
        <v>#DIV/0!</v>
      </c>
    </row>
    <row r="57">
      <c r="A57" s="39"/>
      <c r="K57" s="40">
        <f>COUNTA(Dhan_Trade_Summary!A:A)-1</f>
        <v>0</v>
      </c>
      <c r="L57" s="40">
        <f>COUNTIFS(Dhan_Trade_Summary!R:R,"&gt;0")/COUNTA(Dhan_Trade_Summary!A:A)-1</f>
        <v>-1</v>
      </c>
      <c r="M57" s="40">
        <f>SUM(Dhan_Trade_Summary!R:R)</f>
        <v>0</v>
      </c>
      <c r="N57" s="40" t="str">
        <f>AVERAGE(Dhan_Trade_Summary!R:R)</f>
        <v>#DIV/0!</v>
      </c>
    </row>
    <row r="58">
      <c r="A58" s="39"/>
      <c r="K58" s="40">
        <f>COUNTA(Dhan_Trade_Summary!A:A)-1</f>
        <v>0</v>
      </c>
      <c r="L58" s="40">
        <f>COUNTIFS(Dhan_Trade_Summary!R:R,"&gt;0")/COUNTA(Dhan_Trade_Summary!A:A)-1</f>
        <v>-1</v>
      </c>
      <c r="M58" s="40">
        <f>SUM(Dhan_Trade_Summary!R:R)</f>
        <v>0</v>
      </c>
      <c r="N58" s="40" t="str">
        <f>AVERAGE(Dhan_Trade_Summary!R:R)</f>
        <v>#DIV/0!</v>
      </c>
    </row>
    <row r="59">
      <c r="A59" s="39"/>
      <c r="K59" s="40">
        <f>COUNTA(Dhan_Trade_Summary!A:A)-1</f>
        <v>0</v>
      </c>
      <c r="L59" s="40">
        <f>COUNTIFS(Dhan_Trade_Summary!R:R,"&gt;0")/COUNTA(Dhan_Trade_Summary!A:A)-1</f>
        <v>-1</v>
      </c>
      <c r="M59" s="40">
        <f>SUM(Dhan_Trade_Summary!R:R)</f>
        <v>0</v>
      </c>
      <c r="N59" s="40" t="str">
        <f>AVERAGE(Dhan_Trade_Summary!R:R)</f>
        <v>#DIV/0!</v>
      </c>
    </row>
    <row r="60">
      <c r="A60" s="39"/>
      <c r="K60" s="40">
        <f>COUNTA(Dhan_Trade_Summary!A:A)-1</f>
        <v>0</v>
      </c>
      <c r="L60" s="40">
        <f>COUNTIFS(Dhan_Trade_Summary!R:R,"&gt;0")/COUNTA(Dhan_Trade_Summary!A:A)-1</f>
        <v>-1</v>
      </c>
      <c r="M60" s="40">
        <f>SUM(Dhan_Trade_Summary!R:R)</f>
        <v>0</v>
      </c>
      <c r="N60" s="40" t="str">
        <f>AVERAGE(Dhan_Trade_Summary!R:R)</f>
        <v>#DIV/0!</v>
      </c>
    </row>
    <row r="61">
      <c r="A61" s="39"/>
      <c r="K61" s="40">
        <f>COUNTA(Dhan_Trade_Summary!A:A)-1</f>
        <v>0</v>
      </c>
      <c r="L61" s="40">
        <f>COUNTIFS(Dhan_Trade_Summary!R:R,"&gt;0")/COUNTA(Dhan_Trade_Summary!A:A)-1</f>
        <v>-1</v>
      </c>
      <c r="M61" s="40">
        <f>SUM(Dhan_Trade_Summary!R:R)</f>
        <v>0</v>
      </c>
      <c r="N61" s="40" t="str">
        <f>AVERAGE(Dhan_Trade_Summary!R:R)</f>
        <v>#DIV/0!</v>
      </c>
    </row>
    <row r="62">
      <c r="A62" s="39"/>
      <c r="K62" s="40">
        <f>COUNTA(Dhan_Trade_Summary!A:A)-1</f>
        <v>0</v>
      </c>
      <c r="L62" s="40">
        <f>COUNTIFS(Dhan_Trade_Summary!R:R,"&gt;0")/COUNTA(Dhan_Trade_Summary!A:A)-1</f>
        <v>-1</v>
      </c>
      <c r="M62" s="40">
        <f>SUM(Dhan_Trade_Summary!R:R)</f>
        <v>0</v>
      </c>
      <c r="N62" s="40" t="str">
        <f>AVERAGE(Dhan_Trade_Summary!R:R)</f>
        <v>#DIV/0!</v>
      </c>
    </row>
    <row r="63">
      <c r="A63" s="39"/>
      <c r="K63" s="40">
        <f>COUNTA(Dhan_Trade_Summary!A:A)-1</f>
        <v>0</v>
      </c>
      <c r="L63" s="40">
        <f>COUNTIFS(Dhan_Trade_Summary!R:R,"&gt;0")/COUNTA(Dhan_Trade_Summary!A:A)-1</f>
        <v>-1</v>
      </c>
      <c r="M63" s="40">
        <f>SUM(Dhan_Trade_Summary!R:R)</f>
        <v>0</v>
      </c>
      <c r="N63" s="40" t="str">
        <f>AVERAGE(Dhan_Trade_Summary!R:R)</f>
        <v>#DIV/0!</v>
      </c>
    </row>
    <row r="64">
      <c r="A64" s="39"/>
      <c r="K64" s="40">
        <f>COUNTA(Dhan_Trade_Summary!A:A)-1</f>
        <v>0</v>
      </c>
      <c r="L64" s="40">
        <f>COUNTIFS(Dhan_Trade_Summary!R:R,"&gt;0")/COUNTA(Dhan_Trade_Summary!A:A)-1</f>
        <v>-1</v>
      </c>
      <c r="M64" s="40">
        <f>SUM(Dhan_Trade_Summary!R:R)</f>
        <v>0</v>
      </c>
      <c r="N64" s="40" t="str">
        <f>AVERAGE(Dhan_Trade_Summary!R:R)</f>
        <v>#DIV/0!</v>
      </c>
    </row>
    <row r="65">
      <c r="A65" s="39"/>
      <c r="K65" s="40">
        <f>COUNTA(Dhan_Trade_Summary!A:A)-1</f>
        <v>0</v>
      </c>
      <c r="L65" s="40">
        <f>COUNTIFS(Dhan_Trade_Summary!R:R,"&gt;0")/COUNTA(Dhan_Trade_Summary!A:A)-1</f>
        <v>-1</v>
      </c>
      <c r="M65" s="40">
        <f>SUM(Dhan_Trade_Summary!R:R)</f>
        <v>0</v>
      </c>
      <c r="N65" s="40" t="str">
        <f>AVERAGE(Dhan_Trade_Summary!R:R)</f>
        <v>#DIV/0!</v>
      </c>
    </row>
    <row r="66">
      <c r="A66" s="39"/>
      <c r="K66" s="40">
        <f>COUNTA(Dhan_Trade_Summary!A:A)-1</f>
        <v>0</v>
      </c>
      <c r="L66" s="40">
        <f>COUNTIFS(Dhan_Trade_Summary!R:R,"&gt;0")/COUNTA(Dhan_Trade_Summary!A:A)-1</f>
        <v>-1</v>
      </c>
      <c r="M66" s="40">
        <f>SUM(Dhan_Trade_Summary!R:R)</f>
        <v>0</v>
      </c>
      <c r="N66" s="40" t="str">
        <f>AVERAGE(Dhan_Trade_Summary!R:R)</f>
        <v>#DIV/0!</v>
      </c>
    </row>
    <row r="67">
      <c r="A67" s="39"/>
      <c r="K67" s="40">
        <f>COUNTA(Dhan_Trade_Summary!A:A)-1</f>
        <v>0</v>
      </c>
      <c r="L67" s="40">
        <f>COUNTIFS(Dhan_Trade_Summary!R:R,"&gt;0")/COUNTA(Dhan_Trade_Summary!A:A)-1</f>
        <v>-1</v>
      </c>
      <c r="M67" s="40">
        <f>SUM(Dhan_Trade_Summary!R:R)</f>
        <v>0</v>
      </c>
      <c r="N67" s="40" t="str">
        <f>AVERAGE(Dhan_Trade_Summary!R:R)</f>
        <v>#DIV/0!</v>
      </c>
    </row>
    <row r="68">
      <c r="A68" s="39"/>
      <c r="K68" s="40">
        <f>COUNTA(Dhan_Trade_Summary!A:A)-1</f>
        <v>0</v>
      </c>
      <c r="L68" s="40">
        <f>COUNTIFS(Dhan_Trade_Summary!R:R,"&gt;0")/COUNTA(Dhan_Trade_Summary!A:A)-1</f>
        <v>-1</v>
      </c>
      <c r="M68" s="40">
        <f>SUM(Dhan_Trade_Summary!R:R)</f>
        <v>0</v>
      </c>
      <c r="N68" s="40" t="str">
        <f>AVERAGE(Dhan_Trade_Summary!R:R)</f>
        <v>#DIV/0!</v>
      </c>
    </row>
    <row r="69">
      <c r="A69" s="39"/>
      <c r="K69" s="40">
        <f>COUNTA(Dhan_Trade_Summary!A:A)-1</f>
        <v>0</v>
      </c>
      <c r="L69" s="40">
        <f>COUNTIFS(Dhan_Trade_Summary!R:R,"&gt;0")/COUNTA(Dhan_Trade_Summary!A:A)-1</f>
        <v>-1</v>
      </c>
      <c r="M69" s="40">
        <f>SUM(Dhan_Trade_Summary!R:R)</f>
        <v>0</v>
      </c>
      <c r="N69" s="40" t="str">
        <f>AVERAGE(Dhan_Trade_Summary!R:R)</f>
        <v>#DIV/0!</v>
      </c>
    </row>
    <row r="70">
      <c r="A70" s="39"/>
      <c r="K70" s="40">
        <f>COUNTA(Dhan_Trade_Summary!A:A)-1</f>
        <v>0</v>
      </c>
      <c r="L70" s="40">
        <f>COUNTIFS(Dhan_Trade_Summary!R:R,"&gt;0")/COUNTA(Dhan_Trade_Summary!A:A)-1</f>
        <v>-1</v>
      </c>
      <c r="M70" s="40">
        <f>SUM(Dhan_Trade_Summary!R:R)</f>
        <v>0</v>
      </c>
      <c r="N70" s="40" t="str">
        <f>AVERAGE(Dhan_Trade_Summary!R:R)</f>
        <v>#DIV/0!</v>
      </c>
    </row>
    <row r="71">
      <c r="A71" s="39"/>
      <c r="K71" s="40">
        <f>COUNTA(Dhan_Trade_Summary!A:A)-1</f>
        <v>0</v>
      </c>
      <c r="L71" s="40">
        <f>COUNTIFS(Dhan_Trade_Summary!R:R,"&gt;0")/COUNTA(Dhan_Trade_Summary!A:A)-1</f>
        <v>-1</v>
      </c>
      <c r="M71" s="40">
        <f>SUM(Dhan_Trade_Summary!R:R)</f>
        <v>0</v>
      </c>
      <c r="N71" s="40" t="str">
        <f>AVERAGE(Dhan_Trade_Summary!R:R)</f>
        <v>#DIV/0!</v>
      </c>
    </row>
    <row r="72">
      <c r="A72" s="39"/>
      <c r="K72" s="40">
        <f>COUNTA(Dhan_Trade_Summary!A:A)-1</f>
        <v>0</v>
      </c>
      <c r="L72" s="40">
        <f>COUNTIFS(Dhan_Trade_Summary!R:R,"&gt;0")/COUNTA(Dhan_Trade_Summary!A:A)-1</f>
        <v>-1</v>
      </c>
      <c r="M72" s="40">
        <f>SUM(Dhan_Trade_Summary!R:R)</f>
        <v>0</v>
      </c>
      <c r="N72" s="40" t="str">
        <f>AVERAGE(Dhan_Trade_Summary!R:R)</f>
        <v>#DIV/0!</v>
      </c>
    </row>
    <row r="73">
      <c r="A73" s="39"/>
      <c r="K73" s="40">
        <f>COUNTA(Dhan_Trade_Summary!A:A)-1</f>
        <v>0</v>
      </c>
      <c r="L73" s="40">
        <f>COUNTIFS(Dhan_Trade_Summary!R:R,"&gt;0")/COUNTA(Dhan_Trade_Summary!A:A)-1</f>
        <v>-1</v>
      </c>
      <c r="M73" s="40">
        <f>SUM(Dhan_Trade_Summary!R:R)</f>
        <v>0</v>
      </c>
      <c r="N73" s="40" t="str">
        <f>AVERAGE(Dhan_Trade_Summary!R:R)</f>
        <v>#DIV/0!</v>
      </c>
    </row>
    <row r="74">
      <c r="A74" s="39"/>
      <c r="K74" s="40">
        <f>COUNTA(Dhan_Trade_Summary!A:A)-1</f>
        <v>0</v>
      </c>
      <c r="L74" s="40">
        <f>COUNTIFS(Dhan_Trade_Summary!R:R,"&gt;0")/COUNTA(Dhan_Trade_Summary!A:A)-1</f>
        <v>-1</v>
      </c>
      <c r="M74" s="40">
        <f>SUM(Dhan_Trade_Summary!R:R)</f>
        <v>0</v>
      </c>
      <c r="N74" s="40" t="str">
        <f>AVERAGE(Dhan_Trade_Summary!R:R)</f>
        <v>#DIV/0!</v>
      </c>
    </row>
    <row r="75">
      <c r="A75" s="39"/>
      <c r="K75" s="40">
        <f>COUNTA(Dhan_Trade_Summary!A:A)-1</f>
        <v>0</v>
      </c>
      <c r="L75" s="40">
        <f>COUNTIFS(Dhan_Trade_Summary!R:R,"&gt;0")/COUNTA(Dhan_Trade_Summary!A:A)-1</f>
        <v>-1</v>
      </c>
      <c r="M75" s="40">
        <f>SUM(Dhan_Trade_Summary!R:R)</f>
        <v>0</v>
      </c>
      <c r="N75" s="40" t="str">
        <f>AVERAGE(Dhan_Trade_Summary!R:R)</f>
        <v>#DIV/0!</v>
      </c>
    </row>
    <row r="76">
      <c r="A76" s="39"/>
      <c r="K76" s="40">
        <f>COUNTA(Dhan_Trade_Summary!A:A)-1</f>
        <v>0</v>
      </c>
      <c r="L76" s="40">
        <f>COUNTIFS(Dhan_Trade_Summary!R:R,"&gt;0")/COUNTA(Dhan_Trade_Summary!A:A)-1</f>
        <v>-1</v>
      </c>
      <c r="M76" s="40">
        <f>SUM(Dhan_Trade_Summary!R:R)</f>
        <v>0</v>
      </c>
      <c r="N76" s="40" t="str">
        <f>AVERAGE(Dhan_Trade_Summary!R:R)</f>
        <v>#DIV/0!</v>
      </c>
    </row>
    <row r="77">
      <c r="A77" s="39"/>
      <c r="K77" s="40">
        <f>COUNTA(Dhan_Trade_Summary!A:A)-1</f>
        <v>0</v>
      </c>
      <c r="L77" s="40">
        <f>COUNTIFS(Dhan_Trade_Summary!R:R,"&gt;0")/COUNTA(Dhan_Trade_Summary!A:A)-1</f>
        <v>-1</v>
      </c>
      <c r="M77" s="40">
        <f>SUM(Dhan_Trade_Summary!R:R)</f>
        <v>0</v>
      </c>
      <c r="N77" s="40" t="str">
        <f>AVERAGE(Dhan_Trade_Summary!R:R)</f>
        <v>#DIV/0!</v>
      </c>
    </row>
    <row r="78">
      <c r="A78" s="39"/>
      <c r="K78" s="40">
        <f>COUNTA(Dhan_Trade_Summary!A:A)-1</f>
        <v>0</v>
      </c>
      <c r="L78" s="40">
        <f>COUNTIFS(Dhan_Trade_Summary!R:R,"&gt;0")/COUNTA(Dhan_Trade_Summary!A:A)-1</f>
        <v>-1</v>
      </c>
      <c r="M78" s="40">
        <f>SUM(Dhan_Trade_Summary!R:R)</f>
        <v>0</v>
      </c>
      <c r="N78" s="40" t="str">
        <f>AVERAGE(Dhan_Trade_Summary!R:R)</f>
        <v>#DIV/0!</v>
      </c>
    </row>
    <row r="79">
      <c r="A79" s="39"/>
      <c r="K79" s="40">
        <f>COUNTA(Dhan_Trade_Summary!A:A)-1</f>
        <v>0</v>
      </c>
      <c r="L79" s="40">
        <f>COUNTIFS(Dhan_Trade_Summary!R:R,"&gt;0")/COUNTA(Dhan_Trade_Summary!A:A)-1</f>
        <v>-1</v>
      </c>
      <c r="M79" s="40">
        <f>SUM(Dhan_Trade_Summary!R:R)</f>
        <v>0</v>
      </c>
      <c r="N79" s="40" t="str">
        <f>AVERAGE(Dhan_Trade_Summary!R:R)</f>
        <v>#DIV/0!</v>
      </c>
    </row>
    <row r="80">
      <c r="A80" s="39"/>
      <c r="K80" s="40">
        <f>COUNTA(Dhan_Trade_Summary!A:A)-1</f>
        <v>0</v>
      </c>
      <c r="L80" s="40">
        <f>COUNTIFS(Dhan_Trade_Summary!R:R,"&gt;0")/COUNTA(Dhan_Trade_Summary!A:A)-1</f>
        <v>-1</v>
      </c>
      <c r="M80" s="40">
        <f>SUM(Dhan_Trade_Summary!R:R)</f>
        <v>0</v>
      </c>
      <c r="N80" s="40" t="str">
        <f>AVERAGE(Dhan_Trade_Summary!R:R)</f>
        <v>#DIV/0!</v>
      </c>
    </row>
    <row r="81">
      <c r="A81" s="39"/>
      <c r="K81" s="40">
        <f>COUNTA(Dhan_Trade_Summary!A:A)-1</f>
        <v>0</v>
      </c>
      <c r="L81" s="40">
        <f>COUNTIFS(Dhan_Trade_Summary!R:R,"&gt;0")/COUNTA(Dhan_Trade_Summary!A:A)-1</f>
        <v>-1</v>
      </c>
      <c r="M81" s="40">
        <f>SUM(Dhan_Trade_Summary!R:R)</f>
        <v>0</v>
      </c>
      <c r="N81" s="40" t="str">
        <f>AVERAGE(Dhan_Trade_Summary!R:R)</f>
        <v>#DIV/0!</v>
      </c>
    </row>
    <row r="82">
      <c r="A82" s="39"/>
      <c r="K82" s="40">
        <f>COUNTA(Dhan_Trade_Summary!A:A)-1</f>
        <v>0</v>
      </c>
      <c r="L82" s="40">
        <f>COUNTIFS(Dhan_Trade_Summary!R:R,"&gt;0")/COUNTA(Dhan_Trade_Summary!A:A)-1</f>
        <v>-1</v>
      </c>
      <c r="M82" s="40">
        <f>SUM(Dhan_Trade_Summary!R:R)</f>
        <v>0</v>
      </c>
      <c r="N82" s="40" t="str">
        <f>AVERAGE(Dhan_Trade_Summary!R:R)</f>
        <v>#DIV/0!</v>
      </c>
    </row>
    <row r="83">
      <c r="A83" s="39"/>
      <c r="K83" s="40">
        <f>COUNTA(Dhan_Trade_Summary!A:A)-1</f>
        <v>0</v>
      </c>
      <c r="L83" s="40">
        <f>COUNTIFS(Dhan_Trade_Summary!R:R,"&gt;0")/COUNTA(Dhan_Trade_Summary!A:A)-1</f>
        <v>-1</v>
      </c>
      <c r="M83" s="40">
        <f>SUM(Dhan_Trade_Summary!R:R)</f>
        <v>0</v>
      </c>
      <c r="N83" s="40" t="str">
        <f>AVERAGE(Dhan_Trade_Summary!R:R)</f>
        <v>#DIV/0!</v>
      </c>
    </row>
    <row r="84">
      <c r="A84" s="39"/>
      <c r="K84" s="40">
        <f>COUNTA(Dhan_Trade_Summary!A:A)-1</f>
        <v>0</v>
      </c>
      <c r="L84" s="40">
        <f>COUNTIFS(Dhan_Trade_Summary!R:R,"&gt;0")/COUNTA(Dhan_Trade_Summary!A:A)-1</f>
        <v>-1</v>
      </c>
      <c r="M84" s="40">
        <f>SUM(Dhan_Trade_Summary!R:R)</f>
        <v>0</v>
      </c>
      <c r="N84" s="40" t="str">
        <f>AVERAGE(Dhan_Trade_Summary!R:R)</f>
        <v>#DIV/0!</v>
      </c>
    </row>
    <row r="85">
      <c r="A85" s="39"/>
      <c r="K85" s="40">
        <f>COUNTA(Dhan_Trade_Summary!A:A)-1</f>
        <v>0</v>
      </c>
      <c r="L85" s="40">
        <f>COUNTIFS(Dhan_Trade_Summary!R:R,"&gt;0")/COUNTA(Dhan_Trade_Summary!A:A)-1</f>
        <v>-1</v>
      </c>
      <c r="M85" s="40">
        <f>SUM(Dhan_Trade_Summary!R:R)</f>
        <v>0</v>
      </c>
      <c r="N85" s="40" t="str">
        <f>AVERAGE(Dhan_Trade_Summary!R:R)</f>
        <v>#DIV/0!</v>
      </c>
    </row>
    <row r="86">
      <c r="A86" s="39"/>
      <c r="K86" s="40">
        <f>COUNTA(Dhan_Trade_Summary!A:A)-1</f>
        <v>0</v>
      </c>
      <c r="L86" s="40">
        <f>COUNTIFS(Dhan_Trade_Summary!R:R,"&gt;0")/COUNTA(Dhan_Trade_Summary!A:A)-1</f>
        <v>-1</v>
      </c>
      <c r="M86" s="40">
        <f>SUM(Dhan_Trade_Summary!R:R)</f>
        <v>0</v>
      </c>
      <c r="N86" s="40" t="str">
        <f>AVERAGE(Dhan_Trade_Summary!R:R)</f>
        <v>#DIV/0!</v>
      </c>
    </row>
    <row r="87">
      <c r="A87" s="39"/>
      <c r="K87" s="40">
        <f>COUNTA(Dhan_Trade_Summary!A:A)-1</f>
        <v>0</v>
      </c>
      <c r="L87" s="40">
        <f>COUNTIFS(Dhan_Trade_Summary!R:R,"&gt;0")/COUNTA(Dhan_Trade_Summary!A:A)-1</f>
        <v>-1</v>
      </c>
      <c r="M87" s="40">
        <f>SUM(Dhan_Trade_Summary!R:R)</f>
        <v>0</v>
      </c>
      <c r="N87" s="40" t="str">
        <f>AVERAGE(Dhan_Trade_Summary!R:R)</f>
        <v>#DIV/0!</v>
      </c>
    </row>
    <row r="88">
      <c r="A88" s="39"/>
      <c r="K88" s="40">
        <f>COUNTA(Dhan_Trade_Summary!A:A)-1</f>
        <v>0</v>
      </c>
      <c r="L88" s="40">
        <f>COUNTIFS(Dhan_Trade_Summary!R:R,"&gt;0")/COUNTA(Dhan_Trade_Summary!A:A)-1</f>
        <v>-1</v>
      </c>
      <c r="M88" s="40">
        <f>SUM(Dhan_Trade_Summary!R:R)</f>
        <v>0</v>
      </c>
      <c r="N88" s="40" t="str">
        <f>AVERAGE(Dhan_Trade_Summary!R:R)</f>
        <v>#DIV/0!</v>
      </c>
    </row>
    <row r="89">
      <c r="A89" s="39"/>
      <c r="K89" s="40">
        <f>COUNTA(Dhan_Trade_Summary!A:A)-1</f>
        <v>0</v>
      </c>
      <c r="L89" s="40">
        <f>COUNTIFS(Dhan_Trade_Summary!R:R,"&gt;0")/COUNTA(Dhan_Trade_Summary!A:A)-1</f>
        <v>-1</v>
      </c>
      <c r="M89" s="40">
        <f>SUM(Dhan_Trade_Summary!R:R)</f>
        <v>0</v>
      </c>
      <c r="N89" s="40" t="str">
        <f>AVERAGE(Dhan_Trade_Summary!R:R)</f>
        <v>#DIV/0!</v>
      </c>
    </row>
    <row r="90">
      <c r="A90" s="39"/>
      <c r="K90" s="40">
        <f>COUNTA(Dhan_Trade_Summary!A:A)-1</f>
        <v>0</v>
      </c>
      <c r="L90" s="40">
        <f>COUNTIFS(Dhan_Trade_Summary!R:R,"&gt;0")/COUNTA(Dhan_Trade_Summary!A:A)-1</f>
        <v>-1</v>
      </c>
      <c r="M90" s="40">
        <f>SUM(Dhan_Trade_Summary!R:R)</f>
        <v>0</v>
      </c>
      <c r="N90" s="40" t="str">
        <f>AVERAGE(Dhan_Trade_Summary!R:R)</f>
        <v>#DIV/0!</v>
      </c>
    </row>
    <row r="91">
      <c r="A91" s="39"/>
      <c r="K91" s="40">
        <f>COUNTA(Dhan_Trade_Summary!A:A)-1</f>
        <v>0</v>
      </c>
      <c r="L91" s="40">
        <f>COUNTIFS(Dhan_Trade_Summary!R:R,"&gt;0")/COUNTA(Dhan_Trade_Summary!A:A)-1</f>
        <v>-1</v>
      </c>
      <c r="M91" s="40">
        <f>SUM(Dhan_Trade_Summary!R:R)</f>
        <v>0</v>
      </c>
      <c r="N91" s="40" t="str">
        <f>AVERAGE(Dhan_Trade_Summary!R:R)</f>
        <v>#DIV/0!</v>
      </c>
    </row>
    <row r="92">
      <c r="A92" s="39"/>
      <c r="K92" s="40">
        <f>COUNTA(Dhan_Trade_Summary!A:A)-1</f>
        <v>0</v>
      </c>
      <c r="L92" s="40">
        <f>COUNTIFS(Dhan_Trade_Summary!R:R,"&gt;0")/COUNTA(Dhan_Trade_Summary!A:A)-1</f>
        <v>-1</v>
      </c>
      <c r="M92" s="40">
        <f>SUM(Dhan_Trade_Summary!R:R)</f>
        <v>0</v>
      </c>
      <c r="N92" s="40" t="str">
        <f>AVERAGE(Dhan_Trade_Summary!R:R)</f>
        <v>#DIV/0!</v>
      </c>
    </row>
    <row r="93">
      <c r="A93" s="39"/>
      <c r="K93" s="40">
        <f>COUNTA(Dhan_Trade_Summary!A:A)-1</f>
        <v>0</v>
      </c>
      <c r="L93" s="40">
        <f>COUNTIFS(Dhan_Trade_Summary!R:R,"&gt;0")/COUNTA(Dhan_Trade_Summary!A:A)-1</f>
        <v>-1</v>
      </c>
      <c r="M93" s="40">
        <f>SUM(Dhan_Trade_Summary!R:R)</f>
        <v>0</v>
      </c>
      <c r="N93" s="40" t="str">
        <f>AVERAGE(Dhan_Trade_Summary!R:R)</f>
        <v>#DIV/0!</v>
      </c>
    </row>
    <row r="94">
      <c r="A94" s="39"/>
      <c r="K94" s="40">
        <f>COUNTA(Dhan_Trade_Summary!A:A)-1</f>
        <v>0</v>
      </c>
      <c r="L94" s="40">
        <f>COUNTIFS(Dhan_Trade_Summary!R:R,"&gt;0")/COUNTA(Dhan_Trade_Summary!A:A)-1</f>
        <v>-1</v>
      </c>
      <c r="M94" s="40">
        <f>SUM(Dhan_Trade_Summary!R:R)</f>
        <v>0</v>
      </c>
      <c r="N94" s="40" t="str">
        <f>AVERAGE(Dhan_Trade_Summary!R:R)</f>
        <v>#DIV/0!</v>
      </c>
    </row>
    <row r="95">
      <c r="A95" s="39"/>
      <c r="K95" s="40">
        <f>COUNTA(Dhan_Trade_Summary!A:A)-1</f>
        <v>0</v>
      </c>
      <c r="L95" s="40">
        <f>COUNTIFS(Dhan_Trade_Summary!R:R,"&gt;0")/COUNTA(Dhan_Trade_Summary!A:A)-1</f>
        <v>-1</v>
      </c>
      <c r="M95" s="40">
        <f>SUM(Dhan_Trade_Summary!R:R)</f>
        <v>0</v>
      </c>
      <c r="N95" s="40" t="str">
        <f>AVERAGE(Dhan_Trade_Summary!R:R)</f>
        <v>#DIV/0!</v>
      </c>
    </row>
    <row r="96">
      <c r="A96" s="39"/>
      <c r="K96" s="40">
        <f>COUNTA(Dhan_Trade_Summary!A:A)-1</f>
        <v>0</v>
      </c>
      <c r="L96" s="40">
        <f>COUNTIFS(Dhan_Trade_Summary!R:R,"&gt;0")/COUNTA(Dhan_Trade_Summary!A:A)-1</f>
        <v>-1</v>
      </c>
      <c r="M96" s="40">
        <f>SUM(Dhan_Trade_Summary!R:R)</f>
        <v>0</v>
      </c>
      <c r="N96" s="40" t="str">
        <f>AVERAGE(Dhan_Trade_Summary!R:R)</f>
        <v>#DIV/0!</v>
      </c>
    </row>
    <row r="97">
      <c r="A97" s="39"/>
      <c r="K97" s="40">
        <f>COUNTA(Dhan_Trade_Summary!A:A)-1</f>
        <v>0</v>
      </c>
      <c r="L97" s="40">
        <f>COUNTIFS(Dhan_Trade_Summary!R:R,"&gt;0")/COUNTA(Dhan_Trade_Summary!A:A)-1</f>
        <v>-1</v>
      </c>
      <c r="M97" s="40">
        <f>SUM(Dhan_Trade_Summary!R:R)</f>
        <v>0</v>
      </c>
      <c r="N97" s="40" t="str">
        <f>AVERAGE(Dhan_Trade_Summary!R:R)</f>
        <v>#DIV/0!</v>
      </c>
    </row>
    <row r="98">
      <c r="A98" s="39"/>
      <c r="K98" s="40">
        <f>COUNTA(Dhan_Trade_Summary!A:A)-1</f>
        <v>0</v>
      </c>
      <c r="L98" s="40">
        <f>COUNTIFS(Dhan_Trade_Summary!R:R,"&gt;0")/COUNTA(Dhan_Trade_Summary!A:A)-1</f>
        <v>-1</v>
      </c>
      <c r="M98" s="40">
        <f>SUM(Dhan_Trade_Summary!R:R)</f>
        <v>0</v>
      </c>
      <c r="N98" s="40" t="str">
        <f>AVERAGE(Dhan_Trade_Summary!R:R)</f>
        <v>#DIV/0!</v>
      </c>
    </row>
    <row r="99">
      <c r="A99" s="39"/>
      <c r="K99" s="40">
        <f>COUNTA(Dhan_Trade_Summary!A:A)-1</f>
        <v>0</v>
      </c>
      <c r="L99" s="40">
        <f>COUNTIFS(Dhan_Trade_Summary!R:R,"&gt;0")/COUNTA(Dhan_Trade_Summary!A:A)-1</f>
        <v>-1</v>
      </c>
      <c r="M99" s="40">
        <f>SUM(Dhan_Trade_Summary!R:R)</f>
        <v>0</v>
      </c>
      <c r="N99" s="40" t="str">
        <f>AVERAGE(Dhan_Trade_Summary!R:R)</f>
        <v>#DIV/0!</v>
      </c>
    </row>
    <row r="100">
      <c r="A100" s="39"/>
      <c r="K100" s="40">
        <f>COUNTA(Dhan_Trade_Summary!A:A)-1</f>
        <v>0</v>
      </c>
      <c r="L100" s="40">
        <f>COUNTIFS(Dhan_Trade_Summary!R:R,"&gt;0")/COUNTA(Dhan_Trade_Summary!A:A)-1</f>
        <v>-1</v>
      </c>
      <c r="M100" s="40">
        <f>SUM(Dhan_Trade_Summary!R:R)</f>
        <v>0</v>
      </c>
      <c r="N100" s="40" t="str">
        <f>AVERAGE(Dhan_Trade_Summary!R:R)</f>
        <v>#DIV/0!</v>
      </c>
    </row>
    <row r="101">
      <c r="A101" s="39"/>
      <c r="K101" s="40">
        <f>COUNTA(Dhan_Trade_Summary!A:A)-1</f>
        <v>0</v>
      </c>
      <c r="L101" s="40">
        <f>COUNTIFS(Dhan_Trade_Summary!R:R,"&gt;0")/COUNTA(Dhan_Trade_Summary!A:A)-1</f>
        <v>-1</v>
      </c>
      <c r="M101" s="40">
        <f>SUM(Dhan_Trade_Summary!R:R)</f>
        <v>0</v>
      </c>
      <c r="N101" s="40" t="str">
        <f>AVERAGE(Dhan_Trade_Summary!R:R)</f>
        <v>#DIV/0!</v>
      </c>
    </row>
    <row r="102">
      <c r="A102" s="39"/>
      <c r="K102" s="40">
        <f>COUNTA(Dhan_Trade_Summary!A:A)-1</f>
        <v>0</v>
      </c>
      <c r="L102" s="40">
        <f>COUNTIFS(Dhan_Trade_Summary!R:R,"&gt;0")/COUNTA(Dhan_Trade_Summary!A:A)-1</f>
        <v>-1</v>
      </c>
      <c r="M102" s="40">
        <f>SUM(Dhan_Trade_Summary!R:R)</f>
        <v>0</v>
      </c>
      <c r="N102" s="40" t="str">
        <f>AVERAGE(Dhan_Trade_Summary!R:R)</f>
        <v>#DIV/0!</v>
      </c>
    </row>
    <row r="103">
      <c r="A103" s="39"/>
      <c r="K103" s="40">
        <f>COUNTA(Dhan_Trade_Summary!A:A)-1</f>
        <v>0</v>
      </c>
      <c r="L103" s="40">
        <f>COUNTIFS(Dhan_Trade_Summary!R:R,"&gt;0")/COUNTA(Dhan_Trade_Summary!A:A)-1</f>
        <v>-1</v>
      </c>
      <c r="M103" s="40">
        <f>SUM(Dhan_Trade_Summary!R:R)</f>
        <v>0</v>
      </c>
      <c r="N103" s="40" t="str">
        <f>AVERAGE(Dhan_Trade_Summary!R:R)</f>
        <v>#DIV/0!</v>
      </c>
    </row>
    <row r="104">
      <c r="A104" s="39"/>
      <c r="K104" s="40">
        <f>COUNTA(Dhan_Trade_Summary!A:A)-1</f>
        <v>0</v>
      </c>
      <c r="L104" s="40">
        <f>COUNTIFS(Dhan_Trade_Summary!R:R,"&gt;0")/COUNTA(Dhan_Trade_Summary!A:A)-1</f>
        <v>-1</v>
      </c>
      <c r="M104" s="40">
        <f>SUM(Dhan_Trade_Summary!R:R)</f>
        <v>0</v>
      </c>
      <c r="N104" s="40" t="str">
        <f>AVERAGE(Dhan_Trade_Summary!R:R)</f>
        <v>#DIV/0!</v>
      </c>
    </row>
    <row r="105">
      <c r="A105" s="39"/>
      <c r="K105" s="40">
        <f>COUNTA(Dhan_Trade_Summary!A:A)-1</f>
        <v>0</v>
      </c>
      <c r="L105" s="40">
        <f>COUNTIFS(Dhan_Trade_Summary!R:R,"&gt;0")/COUNTA(Dhan_Trade_Summary!A:A)-1</f>
        <v>-1</v>
      </c>
      <c r="M105" s="40">
        <f>SUM(Dhan_Trade_Summary!R:R)</f>
        <v>0</v>
      </c>
      <c r="N105" s="40" t="str">
        <f>AVERAGE(Dhan_Trade_Summary!R:R)</f>
        <v>#DIV/0!</v>
      </c>
    </row>
    <row r="106">
      <c r="A106" s="39"/>
      <c r="K106" s="40">
        <f>COUNTA(Dhan_Trade_Summary!A:A)-1</f>
        <v>0</v>
      </c>
      <c r="L106" s="40">
        <f>COUNTIFS(Dhan_Trade_Summary!R:R,"&gt;0")/COUNTA(Dhan_Trade_Summary!A:A)-1</f>
        <v>-1</v>
      </c>
      <c r="M106" s="40">
        <f>SUM(Dhan_Trade_Summary!R:R)</f>
        <v>0</v>
      </c>
      <c r="N106" s="40" t="str">
        <f>AVERAGE(Dhan_Trade_Summary!R:R)</f>
        <v>#DIV/0!</v>
      </c>
    </row>
    <row r="107">
      <c r="A107" s="39"/>
      <c r="K107" s="40">
        <f>COUNTA(Dhan_Trade_Summary!A:A)-1</f>
        <v>0</v>
      </c>
      <c r="L107" s="40">
        <f>COUNTIFS(Dhan_Trade_Summary!R:R,"&gt;0")/COUNTA(Dhan_Trade_Summary!A:A)-1</f>
        <v>-1</v>
      </c>
      <c r="M107" s="40">
        <f>SUM(Dhan_Trade_Summary!R:R)</f>
        <v>0</v>
      </c>
      <c r="N107" s="40" t="str">
        <f>AVERAGE(Dhan_Trade_Summary!R:R)</f>
        <v>#DIV/0!</v>
      </c>
    </row>
    <row r="108">
      <c r="A108" s="39"/>
      <c r="K108" s="40">
        <f>COUNTA(Dhan_Trade_Summary!A:A)-1</f>
        <v>0</v>
      </c>
      <c r="L108" s="40">
        <f>COUNTIFS(Dhan_Trade_Summary!R:R,"&gt;0")/COUNTA(Dhan_Trade_Summary!A:A)-1</f>
        <v>-1</v>
      </c>
      <c r="M108" s="40">
        <f>SUM(Dhan_Trade_Summary!R:R)</f>
        <v>0</v>
      </c>
      <c r="N108" s="40" t="str">
        <f>AVERAGE(Dhan_Trade_Summary!R:R)</f>
        <v>#DIV/0!</v>
      </c>
    </row>
    <row r="109">
      <c r="A109" s="39"/>
      <c r="K109" s="40">
        <f>COUNTA(Dhan_Trade_Summary!A:A)-1</f>
        <v>0</v>
      </c>
      <c r="L109" s="40">
        <f>COUNTIFS(Dhan_Trade_Summary!R:R,"&gt;0")/COUNTA(Dhan_Trade_Summary!A:A)-1</f>
        <v>-1</v>
      </c>
      <c r="M109" s="40">
        <f>SUM(Dhan_Trade_Summary!R:R)</f>
        <v>0</v>
      </c>
      <c r="N109" s="40" t="str">
        <f>AVERAGE(Dhan_Trade_Summary!R:R)</f>
        <v>#DIV/0!</v>
      </c>
    </row>
    <row r="110">
      <c r="A110" s="39"/>
      <c r="K110" s="40">
        <f>COUNTA(Dhan_Trade_Summary!A:A)-1</f>
        <v>0</v>
      </c>
      <c r="L110" s="40">
        <f>COUNTIFS(Dhan_Trade_Summary!R:R,"&gt;0")/COUNTA(Dhan_Trade_Summary!A:A)-1</f>
        <v>-1</v>
      </c>
      <c r="M110" s="40">
        <f>SUM(Dhan_Trade_Summary!R:R)</f>
        <v>0</v>
      </c>
      <c r="N110" s="40" t="str">
        <f>AVERAGE(Dhan_Trade_Summary!R:R)</f>
        <v>#DIV/0!</v>
      </c>
    </row>
    <row r="111">
      <c r="A111" s="39"/>
      <c r="K111" s="40">
        <f>COUNTA(Dhan_Trade_Summary!A:A)-1</f>
        <v>0</v>
      </c>
      <c r="L111" s="40">
        <f>COUNTIFS(Dhan_Trade_Summary!R:R,"&gt;0")/COUNTA(Dhan_Trade_Summary!A:A)-1</f>
        <v>-1</v>
      </c>
      <c r="M111" s="40">
        <f>SUM(Dhan_Trade_Summary!R:R)</f>
        <v>0</v>
      </c>
      <c r="N111" s="40" t="str">
        <f>AVERAGE(Dhan_Trade_Summary!R:R)</f>
        <v>#DIV/0!</v>
      </c>
    </row>
    <row r="112">
      <c r="A112" s="39"/>
      <c r="K112" s="40">
        <f>COUNTA(Dhan_Trade_Summary!A:A)-1</f>
        <v>0</v>
      </c>
      <c r="L112" s="40">
        <f>COUNTIFS(Dhan_Trade_Summary!R:R,"&gt;0")/COUNTA(Dhan_Trade_Summary!A:A)-1</f>
        <v>-1</v>
      </c>
      <c r="M112" s="40">
        <f>SUM(Dhan_Trade_Summary!R:R)</f>
        <v>0</v>
      </c>
      <c r="N112" s="40" t="str">
        <f>AVERAGE(Dhan_Trade_Summary!R:R)</f>
        <v>#DIV/0!</v>
      </c>
    </row>
    <row r="113">
      <c r="A113" s="39"/>
      <c r="K113" s="40">
        <f>COUNTA(Dhan_Trade_Summary!A:A)-1</f>
        <v>0</v>
      </c>
      <c r="L113" s="40">
        <f>COUNTIFS(Dhan_Trade_Summary!R:R,"&gt;0")/COUNTA(Dhan_Trade_Summary!A:A)-1</f>
        <v>-1</v>
      </c>
      <c r="M113" s="40">
        <f>SUM(Dhan_Trade_Summary!R:R)</f>
        <v>0</v>
      </c>
      <c r="N113" s="40" t="str">
        <f>AVERAGE(Dhan_Trade_Summary!R:R)</f>
        <v>#DIV/0!</v>
      </c>
    </row>
    <row r="114">
      <c r="A114" s="39"/>
      <c r="K114" s="40">
        <f>COUNTA(Dhan_Trade_Summary!A:A)-1</f>
        <v>0</v>
      </c>
      <c r="L114" s="40">
        <f>COUNTIFS(Dhan_Trade_Summary!R:R,"&gt;0")/COUNTA(Dhan_Trade_Summary!A:A)-1</f>
        <v>-1</v>
      </c>
      <c r="M114" s="40">
        <f>SUM(Dhan_Trade_Summary!R:R)</f>
        <v>0</v>
      </c>
      <c r="N114" s="40" t="str">
        <f>AVERAGE(Dhan_Trade_Summary!R:R)</f>
        <v>#DIV/0!</v>
      </c>
    </row>
    <row r="115">
      <c r="A115" s="39"/>
      <c r="K115" s="40">
        <f>COUNTA(Dhan_Trade_Summary!A:A)-1</f>
        <v>0</v>
      </c>
      <c r="L115" s="40">
        <f>COUNTIFS(Dhan_Trade_Summary!R:R,"&gt;0")/COUNTA(Dhan_Trade_Summary!A:A)-1</f>
        <v>-1</v>
      </c>
      <c r="M115" s="40">
        <f>SUM(Dhan_Trade_Summary!R:R)</f>
        <v>0</v>
      </c>
      <c r="N115" s="40" t="str">
        <f>AVERAGE(Dhan_Trade_Summary!R:R)</f>
        <v>#DIV/0!</v>
      </c>
    </row>
    <row r="116">
      <c r="A116" s="39"/>
      <c r="K116" s="40">
        <f>COUNTA(Dhan_Trade_Summary!A:A)-1</f>
        <v>0</v>
      </c>
      <c r="L116" s="40">
        <f>COUNTIFS(Dhan_Trade_Summary!R:R,"&gt;0")/COUNTA(Dhan_Trade_Summary!A:A)-1</f>
        <v>-1</v>
      </c>
      <c r="M116" s="40">
        <f>SUM(Dhan_Trade_Summary!R:R)</f>
        <v>0</v>
      </c>
      <c r="N116" s="40" t="str">
        <f>AVERAGE(Dhan_Trade_Summary!R:R)</f>
        <v>#DIV/0!</v>
      </c>
    </row>
    <row r="117">
      <c r="A117" s="39"/>
      <c r="K117" s="40">
        <f>COUNTA(Dhan_Trade_Summary!A:A)-1</f>
        <v>0</v>
      </c>
      <c r="L117" s="40">
        <f>COUNTIFS(Dhan_Trade_Summary!R:R,"&gt;0")/COUNTA(Dhan_Trade_Summary!A:A)-1</f>
        <v>-1</v>
      </c>
      <c r="M117" s="40">
        <f>SUM(Dhan_Trade_Summary!R:R)</f>
        <v>0</v>
      </c>
      <c r="N117" s="40" t="str">
        <f>AVERAGE(Dhan_Trade_Summary!R:R)</f>
        <v>#DIV/0!</v>
      </c>
    </row>
    <row r="118">
      <c r="A118" s="39"/>
      <c r="K118" s="40">
        <f>COUNTA(Dhan_Trade_Summary!A:A)-1</f>
        <v>0</v>
      </c>
      <c r="L118" s="40">
        <f>COUNTIFS(Dhan_Trade_Summary!R:R,"&gt;0")/COUNTA(Dhan_Trade_Summary!A:A)-1</f>
        <v>-1</v>
      </c>
      <c r="M118" s="40">
        <f>SUM(Dhan_Trade_Summary!R:R)</f>
        <v>0</v>
      </c>
      <c r="N118" s="40" t="str">
        <f>AVERAGE(Dhan_Trade_Summary!R:R)</f>
        <v>#DIV/0!</v>
      </c>
    </row>
    <row r="119">
      <c r="A119" s="39"/>
      <c r="K119" s="40">
        <f>COUNTA(Dhan_Trade_Summary!A:A)-1</f>
        <v>0</v>
      </c>
      <c r="L119" s="40">
        <f>COUNTIFS(Dhan_Trade_Summary!R:R,"&gt;0")/COUNTA(Dhan_Trade_Summary!A:A)-1</f>
        <v>-1</v>
      </c>
      <c r="M119" s="40">
        <f>SUM(Dhan_Trade_Summary!R:R)</f>
        <v>0</v>
      </c>
      <c r="N119" s="40" t="str">
        <f>AVERAGE(Dhan_Trade_Summary!R:R)</f>
        <v>#DIV/0!</v>
      </c>
    </row>
    <row r="120">
      <c r="A120" s="39"/>
      <c r="K120" s="40">
        <f>COUNTA(Dhan_Trade_Summary!A:A)-1</f>
        <v>0</v>
      </c>
      <c r="L120" s="40">
        <f>COUNTIFS(Dhan_Trade_Summary!R:R,"&gt;0")/COUNTA(Dhan_Trade_Summary!A:A)-1</f>
        <v>-1</v>
      </c>
      <c r="M120" s="40">
        <f>SUM(Dhan_Trade_Summary!R:R)</f>
        <v>0</v>
      </c>
      <c r="N120" s="40" t="str">
        <f>AVERAGE(Dhan_Trade_Summary!R:R)</f>
        <v>#DIV/0!</v>
      </c>
    </row>
    <row r="121">
      <c r="A121" s="39"/>
      <c r="K121" s="40">
        <f>COUNTA(Dhan_Trade_Summary!A:A)-1</f>
        <v>0</v>
      </c>
      <c r="L121" s="40">
        <f>COUNTIFS(Dhan_Trade_Summary!R:R,"&gt;0")/COUNTA(Dhan_Trade_Summary!A:A)-1</f>
        <v>-1</v>
      </c>
      <c r="M121" s="40">
        <f>SUM(Dhan_Trade_Summary!R:R)</f>
        <v>0</v>
      </c>
      <c r="N121" s="40" t="str">
        <f>AVERAGE(Dhan_Trade_Summary!R:R)</f>
        <v>#DIV/0!</v>
      </c>
    </row>
    <row r="122">
      <c r="A122" s="39"/>
      <c r="K122" s="40">
        <f>COUNTA(Dhan_Trade_Summary!A:A)-1</f>
        <v>0</v>
      </c>
      <c r="L122" s="40">
        <f>COUNTIFS(Dhan_Trade_Summary!R:R,"&gt;0")/COUNTA(Dhan_Trade_Summary!A:A)-1</f>
        <v>-1</v>
      </c>
      <c r="M122" s="40">
        <f>SUM(Dhan_Trade_Summary!R:R)</f>
        <v>0</v>
      </c>
      <c r="N122" s="40" t="str">
        <f>AVERAGE(Dhan_Trade_Summary!R:R)</f>
        <v>#DIV/0!</v>
      </c>
    </row>
    <row r="123">
      <c r="A123" s="39"/>
      <c r="K123" s="40">
        <f>COUNTA(Dhan_Trade_Summary!A:A)-1</f>
        <v>0</v>
      </c>
      <c r="L123" s="40">
        <f>COUNTIFS(Dhan_Trade_Summary!R:R,"&gt;0")/COUNTA(Dhan_Trade_Summary!A:A)-1</f>
        <v>-1</v>
      </c>
      <c r="M123" s="40">
        <f>SUM(Dhan_Trade_Summary!R:R)</f>
        <v>0</v>
      </c>
      <c r="N123" s="40" t="str">
        <f>AVERAGE(Dhan_Trade_Summary!R:R)</f>
        <v>#DIV/0!</v>
      </c>
    </row>
    <row r="124">
      <c r="A124" s="39"/>
      <c r="K124" s="40">
        <f>COUNTA(Dhan_Trade_Summary!A:A)-1</f>
        <v>0</v>
      </c>
      <c r="L124" s="40">
        <f>COUNTIFS(Dhan_Trade_Summary!R:R,"&gt;0")/COUNTA(Dhan_Trade_Summary!A:A)-1</f>
        <v>-1</v>
      </c>
      <c r="M124" s="40">
        <f>SUM(Dhan_Trade_Summary!R:R)</f>
        <v>0</v>
      </c>
      <c r="N124" s="40" t="str">
        <f>AVERAGE(Dhan_Trade_Summary!R:R)</f>
        <v>#DIV/0!</v>
      </c>
    </row>
    <row r="125">
      <c r="A125" s="39"/>
      <c r="K125" s="40">
        <f>COUNTA(Dhan_Trade_Summary!A:A)-1</f>
        <v>0</v>
      </c>
      <c r="L125" s="40">
        <f>COUNTIFS(Dhan_Trade_Summary!R:R,"&gt;0")/COUNTA(Dhan_Trade_Summary!A:A)-1</f>
        <v>-1</v>
      </c>
      <c r="M125" s="40">
        <f>SUM(Dhan_Trade_Summary!R:R)</f>
        <v>0</v>
      </c>
      <c r="N125" s="40" t="str">
        <f>AVERAGE(Dhan_Trade_Summary!R:R)</f>
        <v>#DIV/0!</v>
      </c>
    </row>
    <row r="126">
      <c r="A126" s="39"/>
      <c r="K126" s="40">
        <f>COUNTA(Dhan_Trade_Summary!A:A)-1</f>
        <v>0</v>
      </c>
      <c r="L126" s="40">
        <f>COUNTIFS(Dhan_Trade_Summary!R:R,"&gt;0")/COUNTA(Dhan_Trade_Summary!A:A)-1</f>
        <v>-1</v>
      </c>
      <c r="M126" s="40">
        <f>SUM(Dhan_Trade_Summary!R:R)</f>
        <v>0</v>
      </c>
      <c r="N126" s="40" t="str">
        <f>AVERAGE(Dhan_Trade_Summary!R:R)</f>
        <v>#DIV/0!</v>
      </c>
    </row>
    <row r="127">
      <c r="A127" s="39"/>
      <c r="K127" s="40">
        <f>COUNTA(Dhan_Trade_Summary!A:A)-1</f>
        <v>0</v>
      </c>
      <c r="L127" s="40">
        <f>COUNTIFS(Dhan_Trade_Summary!R:R,"&gt;0")/COUNTA(Dhan_Trade_Summary!A:A)-1</f>
        <v>-1</v>
      </c>
      <c r="M127" s="40">
        <f>SUM(Dhan_Trade_Summary!R:R)</f>
        <v>0</v>
      </c>
      <c r="N127" s="40" t="str">
        <f>AVERAGE(Dhan_Trade_Summary!R:R)</f>
        <v>#DIV/0!</v>
      </c>
    </row>
    <row r="128">
      <c r="A128" s="39"/>
      <c r="K128" s="40">
        <f>COUNTA(Dhan_Trade_Summary!A:A)-1</f>
        <v>0</v>
      </c>
      <c r="L128" s="40">
        <f>COUNTIFS(Dhan_Trade_Summary!R:R,"&gt;0")/COUNTA(Dhan_Trade_Summary!A:A)-1</f>
        <v>-1</v>
      </c>
      <c r="M128" s="40">
        <f>SUM(Dhan_Trade_Summary!R:R)</f>
        <v>0</v>
      </c>
      <c r="N128" s="40" t="str">
        <f>AVERAGE(Dhan_Trade_Summary!R:R)</f>
        <v>#DIV/0!</v>
      </c>
    </row>
    <row r="129">
      <c r="A129" s="39"/>
      <c r="K129" s="40">
        <f>COUNTA(Dhan_Trade_Summary!A:A)-1</f>
        <v>0</v>
      </c>
      <c r="L129" s="40">
        <f>COUNTIFS(Dhan_Trade_Summary!R:R,"&gt;0")/COUNTA(Dhan_Trade_Summary!A:A)-1</f>
        <v>-1</v>
      </c>
      <c r="M129" s="40">
        <f>SUM(Dhan_Trade_Summary!R:R)</f>
        <v>0</v>
      </c>
      <c r="N129" s="40" t="str">
        <f>AVERAGE(Dhan_Trade_Summary!R:R)</f>
        <v>#DIV/0!</v>
      </c>
    </row>
    <row r="130">
      <c r="A130" s="39"/>
      <c r="K130" s="40">
        <f>COUNTA(Dhan_Trade_Summary!A:A)-1</f>
        <v>0</v>
      </c>
      <c r="L130" s="40">
        <f>COUNTIFS(Dhan_Trade_Summary!R:R,"&gt;0")/COUNTA(Dhan_Trade_Summary!A:A)-1</f>
        <v>-1</v>
      </c>
      <c r="M130" s="40">
        <f>SUM(Dhan_Trade_Summary!R:R)</f>
        <v>0</v>
      </c>
      <c r="N130" s="40" t="str">
        <f>AVERAGE(Dhan_Trade_Summary!R:R)</f>
        <v>#DIV/0!</v>
      </c>
    </row>
    <row r="131">
      <c r="A131" s="39"/>
      <c r="K131" s="40">
        <f>COUNTA(Dhan_Trade_Summary!A:A)-1</f>
        <v>0</v>
      </c>
      <c r="L131" s="40">
        <f>COUNTIFS(Dhan_Trade_Summary!R:R,"&gt;0")/COUNTA(Dhan_Trade_Summary!A:A)-1</f>
        <v>-1</v>
      </c>
      <c r="M131" s="40">
        <f>SUM(Dhan_Trade_Summary!R:R)</f>
        <v>0</v>
      </c>
      <c r="N131" s="40" t="str">
        <f>AVERAGE(Dhan_Trade_Summary!R:R)</f>
        <v>#DIV/0!</v>
      </c>
    </row>
    <row r="132">
      <c r="A132" s="39"/>
      <c r="K132" s="40">
        <f>COUNTA(Dhan_Trade_Summary!A:A)-1</f>
        <v>0</v>
      </c>
      <c r="L132" s="40">
        <f>COUNTIFS(Dhan_Trade_Summary!R:R,"&gt;0")/COUNTA(Dhan_Trade_Summary!A:A)-1</f>
        <v>-1</v>
      </c>
      <c r="M132" s="40">
        <f>SUM(Dhan_Trade_Summary!R:R)</f>
        <v>0</v>
      </c>
      <c r="N132" s="40" t="str">
        <f>AVERAGE(Dhan_Trade_Summary!R:R)</f>
        <v>#DIV/0!</v>
      </c>
    </row>
    <row r="133">
      <c r="A133" s="39"/>
      <c r="K133" s="40">
        <f>COUNTA(Dhan_Trade_Summary!A:A)-1</f>
        <v>0</v>
      </c>
      <c r="L133" s="40">
        <f>COUNTIFS(Dhan_Trade_Summary!R:R,"&gt;0")/COUNTA(Dhan_Trade_Summary!A:A)-1</f>
        <v>-1</v>
      </c>
      <c r="M133" s="40">
        <f>SUM(Dhan_Trade_Summary!R:R)</f>
        <v>0</v>
      </c>
      <c r="N133" s="40" t="str">
        <f>AVERAGE(Dhan_Trade_Summary!R:R)</f>
        <v>#DIV/0!</v>
      </c>
    </row>
    <row r="134">
      <c r="A134" s="39"/>
      <c r="K134" s="40">
        <f>COUNTA(Dhan_Trade_Summary!A:A)-1</f>
        <v>0</v>
      </c>
      <c r="L134" s="40">
        <f>COUNTIFS(Dhan_Trade_Summary!R:R,"&gt;0")/COUNTA(Dhan_Trade_Summary!A:A)-1</f>
        <v>-1</v>
      </c>
      <c r="M134" s="40">
        <f>SUM(Dhan_Trade_Summary!R:R)</f>
        <v>0</v>
      </c>
      <c r="N134" s="40" t="str">
        <f>AVERAGE(Dhan_Trade_Summary!R:R)</f>
        <v>#DIV/0!</v>
      </c>
    </row>
    <row r="135">
      <c r="A135" s="39"/>
      <c r="K135" s="40">
        <f>COUNTA(Dhan_Trade_Summary!A:A)-1</f>
        <v>0</v>
      </c>
      <c r="L135" s="40">
        <f>COUNTIFS(Dhan_Trade_Summary!R:R,"&gt;0")/COUNTA(Dhan_Trade_Summary!A:A)-1</f>
        <v>-1</v>
      </c>
      <c r="M135" s="40">
        <f>SUM(Dhan_Trade_Summary!R:R)</f>
        <v>0</v>
      </c>
      <c r="N135" s="40" t="str">
        <f>AVERAGE(Dhan_Trade_Summary!R:R)</f>
        <v>#DIV/0!</v>
      </c>
    </row>
    <row r="136">
      <c r="A136" s="39"/>
      <c r="K136" s="40">
        <f>COUNTA(Dhan_Trade_Summary!A:A)-1</f>
        <v>0</v>
      </c>
      <c r="L136" s="40">
        <f>COUNTIFS(Dhan_Trade_Summary!R:R,"&gt;0")/COUNTA(Dhan_Trade_Summary!A:A)-1</f>
        <v>-1</v>
      </c>
      <c r="M136" s="40">
        <f>SUM(Dhan_Trade_Summary!R:R)</f>
        <v>0</v>
      </c>
      <c r="N136" s="40" t="str">
        <f>AVERAGE(Dhan_Trade_Summary!R:R)</f>
        <v>#DIV/0!</v>
      </c>
    </row>
    <row r="137">
      <c r="A137" s="39"/>
      <c r="K137" s="40">
        <f>COUNTA(Dhan_Trade_Summary!A:A)-1</f>
        <v>0</v>
      </c>
      <c r="L137" s="40">
        <f>COUNTIFS(Dhan_Trade_Summary!R:R,"&gt;0")/COUNTA(Dhan_Trade_Summary!A:A)-1</f>
        <v>-1</v>
      </c>
      <c r="M137" s="40">
        <f>SUM(Dhan_Trade_Summary!R:R)</f>
        <v>0</v>
      </c>
      <c r="N137" s="40" t="str">
        <f>AVERAGE(Dhan_Trade_Summary!R:R)</f>
        <v>#DIV/0!</v>
      </c>
    </row>
    <row r="138">
      <c r="A138" s="39"/>
      <c r="K138" s="40">
        <f>COUNTA(Dhan_Trade_Summary!A:A)-1</f>
        <v>0</v>
      </c>
      <c r="L138" s="40">
        <f>COUNTIFS(Dhan_Trade_Summary!R:R,"&gt;0")/COUNTA(Dhan_Trade_Summary!A:A)-1</f>
        <v>-1</v>
      </c>
      <c r="M138" s="40">
        <f>SUM(Dhan_Trade_Summary!R:R)</f>
        <v>0</v>
      </c>
      <c r="N138" s="40" t="str">
        <f>AVERAGE(Dhan_Trade_Summary!R:R)</f>
        <v>#DIV/0!</v>
      </c>
    </row>
    <row r="139">
      <c r="A139" s="39"/>
      <c r="K139" s="40">
        <f>COUNTA(Dhan_Trade_Summary!A:A)-1</f>
        <v>0</v>
      </c>
      <c r="L139" s="40">
        <f>COUNTIFS(Dhan_Trade_Summary!R:R,"&gt;0")/COUNTA(Dhan_Trade_Summary!A:A)-1</f>
        <v>-1</v>
      </c>
      <c r="M139" s="40">
        <f>SUM(Dhan_Trade_Summary!R:R)</f>
        <v>0</v>
      </c>
      <c r="N139" s="40" t="str">
        <f>AVERAGE(Dhan_Trade_Summary!R:R)</f>
        <v>#DIV/0!</v>
      </c>
    </row>
    <row r="140">
      <c r="A140" s="39"/>
      <c r="K140" s="40">
        <f>COUNTA(Dhan_Trade_Summary!A:A)-1</f>
        <v>0</v>
      </c>
      <c r="L140" s="40">
        <f>COUNTIFS(Dhan_Trade_Summary!R:R,"&gt;0")/COUNTA(Dhan_Trade_Summary!A:A)-1</f>
        <v>-1</v>
      </c>
      <c r="M140" s="40">
        <f>SUM(Dhan_Trade_Summary!R:R)</f>
        <v>0</v>
      </c>
      <c r="N140" s="40" t="str">
        <f>AVERAGE(Dhan_Trade_Summary!R:R)</f>
        <v>#DIV/0!</v>
      </c>
    </row>
    <row r="141">
      <c r="A141" s="39"/>
      <c r="K141" s="40">
        <f>COUNTA(Dhan_Trade_Summary!A:A)-1</f>
        <v>0</v>
      </c>
      <c r="L141" s="40">
        <f>COUNTIFS(Dhan_Trade_Summary!R:R,"&gt;0")/COUNTA(Dhan_Trade_Summary!A:A)-1</f>
        <v>-1</v>
      </c>
      <c r="M141" s="40">
        <f>SUM(Dhan_Trade_Summary!R:R)</f>
        <v>0</v>
      </c>
      <c r="N141" s="40" t="str">
        <f>AVERAGE(Dhan_Trade_Summary!R:R)</f>
        <v>#DIV/0!</v>
      </c>
    </row>
    <row r="142">
      <c r="A142" s="39"/>
      <c r="K142" s="40">
        <f>COUNTA(Dhan_Trade_Summary!A:A)-1</f>
        <v>0</v>
      </c>
      <c r="L142" s="40">
        <f>COUNTIFS(Dhan_Trade_Summary!R:R,"&gt;0")/COUNTA(Dhan_Trade_Summary!A:A)-1</f>
        <v>-1</v>
      </c>
      <c r="M142" s="40">
        <f>SUM(Dhan_Trade_Summary!R:R)</f>
        <v>0</v>
      </c>
      <c r="N142" s="40" t="str">
        <f>AVERAGE(Dhan_Trade_Summary!R:R)</f>
        <v>#DIV/0!</v>
      </c>
    </row>
    <row r="143">
      <c r="A143" s="39"/>
      <c r="K143" s="40">
        <f>COUNTA(Dhan_Trade_Summary!A:A)-1</f>
        <v>0</v>
      </c>
      <c r="L143" s="40">
        <f>COUNTIFS(Dhan_Trade_Summary!R:R,"&gt;0")/COUNTA(Dhan_Trade_Summary!A:A)-1</f>
        <v>-1</v>
      </c>
      <c r="M143" s="40">
        <f>SUM(Dhan_Trade_Summary!R:R)</f>
        <v>0</v>
      </c>
      <c r="N143" s="40" t="str">
        <f>AVERAGE(Dhan_Trade_Summary!R:R)</f>
        <v>#DIV/0!</v>
      </c>
    </row>
    <row r="144">
      <c r="A144" s="39"/>
      <c r="K144" s="40">
        <f>COUNTA(Dhan_Trade_Summary!A:A)-1</f>
        <v>0</v>
      </c>
      <c r="L144" s="40">
        <f>COUNTIFS(Dhan_Trade_Summary!R:R,"&gt;0")/COUNTA(Dhan_Trade_Summary!A:A)-1</f>
        <v>-1</v>
      </c>
      <c r="M144" s="40">
        <f>SUM(Dhan_Trade_Summary!R:R)</f>
        <v>0</v>
      </c>
      <c r="N144" s="40" t="str">
        <f>AVERAGE(Dhan_Trade_Summary!R:R)</f>
        <v>#DIV/0!</v>
      </c>
    </row>
    <row r="145">
      <c r="A145" s="39"/>
      <c r="K145" s="40">
        <f>COUNTA(Dhan_Trade_Summary!A:A)-1</f>
        <v>0</v>
      </c>
      <c r="L145" s="40">
        <f>COUNTIFS(Dhan_Trade_Summary!R:R,"&gt;0")/COUNTA(Dhan_Trade_Summary!A:A)-1</f>
        <v>-1</v>
      </c>
      <c r="M145" s="40">
        <f>SUM(Dhan_Trade_Summary!R:R)</f>
        <v>0</v>
      </c>
      <c r="N145" s="40" t="str">
        <f>AVERAGE(Dhan_Trade_Summary!R:R)</f>
        <v>#DIV/0!</v>
      </c>
    </row>
    <row r="146">
      <c r="A146" s="39"/>
      <c r="K146" s="40">
        <f>COUNTA(Dhan_Trade_Summary!A:A)-1</f>
        <v>0</v>
      </c>
      <c r="L146" s="40">
        <f>COUNTIFS(Dhan_Trade_Summary!R:R,"&gt;0")/COUNTA(Dhan_Trade_Summary!A:A)-1</f>
        <v>-1</v>
      </c>
      <c r="M146" s="40">
        <f>SUM(Dhan_Trade_Summary!R:R)</f>
        <v>0</v>
      </c>
      <c r="N146" s="40" t="str">
        <f>AVERAGE(Dhan_Trade_Summary!R:R)</f>
        <v>#DIV/0!</v>
      </c>
    </row>
    <row r="147">
      <c r="A147" s="39"/>
      <c r="K147" s="40">
        <f>COUNTA(Dhan_Trade_Summary!A:A)-1</f>
        <v>0</v>
      </c>
      <c r="L147" s="40">
        <f>COUNTIFS(Dhan_Trade_Summary!R:R,"&gt;0")/COUNTA(Dhan_Trade_Summary!A:A)-1</f>
        <v>-1</v>
      </c>
      <c r="M147" s="40">
        <f>SUM(Dhan_Trade_Summary!R:R)</f>
        <v>0</v>
      </c>
      <c r="N147" s="40" t="str">
        <f>AVERAGE(Dhan_Trade_Summary!R:R)</f>
        <v>#DIV/0!</v>
      </c>
    </row>
    <row r="148">
      <c r="A148" s="39"/>
      <c r="K148" s="40">
        <f>COUNTA(Dhan_Trade_Summary!A:A)-1</f>
        <v>0</v>
      </c>
      <c r="L148" s="40">
        <f>COUNTIFS(Dhan_Trade_Summary!R:R,"&gt;0")/COUNTA(Dhan_Trade_Summary!A:A)-1</f>
        <v>-1</v>
      </c>
      <c r="M148" s="40">
        <f>SUM(Dhan_Trade_Summary!R:R)</f>
        <v>0</v>
      </c>
      <c r="N148" s="40" t="str">
        <f>AVERAGE(Dhan_Trade_Summary!R:R)</f>
        <v>#DIV/0!</v>
      </c>
    </row>
    <row r="149">
      <c r="A149" s="39"/>
      <c r="K149" s="40">
        <f>COUNTA(Dhan_Trade_Summary!A:A)-1</f>
        <v>0</v>
      </c>
      <c r="L149" s="40">
        <f>COUNTIFS(Dhan_Trade_Summary!R:R,"&gt;0")/COUNTA(Dhan_Trade_Summary!A:A)-1</f>
        <v>-1</v>
      </c>
      <c r="M149" s="40">
        <f>SUM(Dhan_Trade_Summary!R:R)</f>
        <v>0</v>
      </c>
      <c r="N149" s="40" t="str">
        <f>AVERAGE(Dhan_Trade_Summary!R:R)</f>
        <v>#DIV/0!</v>
      </c>
    </row>
    <row r="150">
      <c r="A150" s="39"/>
      <c r="K150" s="40">
        <f>COUNTA(Dhan_Trade_Summary!A:A)-1</f>
        <v>0</v>
      </c>
      <c r="L150" s="40">
        <f>COUNTIFS(Dhan_Trade_Summary!R:R,"&gt;0")/COUNTA(Dhan_Trade_Summary!A:A)-1</f>
        <v>-1</v>
      </c>
      <c r="M150" s="40">
        <f>SUM(Dhan_Trade_Summary!R:R)</f>
        <v>0</v>
      </c>
      <c r="N150" s="40" t="str">
        <f>AVERAGE(Dhan_Trade_Summary!R:R)</f>
        <v>#DIV/0!</v>
      </c>
    </row>
    <row r="151">
      <c r="A151" s="39"/>
      <c r="K151" s="40">
        <f>COUNTA(Dhan_Trade_Summary!A:A)-1</f>
        <v>0</v>
      </c>
      <c r="L151" s="40">
        <f>COUNTIFS(Dhan_Trade_Summary!R:R,"&gt;0")/COUNTA(Dhan_Trade_Summary!A:A)-1</f>
        <v>-1</v>
      </c>
      <c r="M151" s="40">
        <f>SUM(Dhan_Trade_Summary!R:R)</f>
        <v>0</v>
      </c>
      <c r="N151" s="40" t="str">
        <f>AVERAGE(Dhan_Trade_Summary!R:R)</f>
        <v>#DIV/0!</v>
      </c>
    </row>
    <row r="152">
      <c r="A152" s="39"/>
      <c r="K152" s="40">
        <f>COUNTA(Dhan_Trade_Summary!A:A)-1</f>
        <v>0</v>
      </c>
      <c r="L152" s="40">
        <f>COUNTIFS(Dhan_Trade_Summary!R:R,"&gt;0")/COUNTA(Dhan_Trade_Summary!A:A)-1</f>
        <v>-1</v>
      </c>
      <c r="M152" s="40">
        <f>SUM(Dhan_Trade_Summary!R:R)</f>
        <v>0</v>
      </c>
      <c r="N152" s="40" t="str">
        <f>AVERAGE(Dhan_Trade_Summary!R:R)</f>
        <v>#DIV/0!</v>
      </c>
    </row>
    <row r="153">
      <c r="A153" s="39"/>
      <c r="K153" s="40">
        <f>COUNTA(Dhan_Trade_Summary!A:A)-1</f>
        <v>0</v>
      </c>
      <c r="L153" s="40">
        <f>COUNTIFS(Dhan_Trade_Summary!R:R,"&gt;0")/COUNTA(Dhan_Trade_Summary!A:A)-1</f>
        <v>-1</v>
      </c>
      <c r="M153" s="40">
        <f>SUM(Dhan_Trade_Summary!R:R)</f>
        <v>0</v>
      </c>
      <c r="N153" s="40" t="str">
        <f>AVERAGE(Dhan_Trade_Summary!R:R)</f>
        <v>#DIV/0!</v>
      </c>
    </row>
    <row r="154">
      <c r="A154" s="39"/>
      <c r="K154" s="40">
        <f>COUNTA(Dhan_Trade_Summary!A:A)-1</f>
        <v>0</v>
      </c>
      <c r="L154" s="40">
        <f>COUNTIFS(Dhan_Trade_Summary!R:R,"&gt;0")/COUNTA(Dhan_Trade_Summary!A:A)-1</f>
        <v>-1</v>
      </c>
      <c r="M154" s="40">
        <f>SUM(Dhan_Trade_Summary!R:R)</f>
        <v>0</v>
      </c>
      <c r="N154" s="40" t="str">
        <f>AVERAGE(Dhan_Trade_Summary!R:R)</f>
        <v>#DIV/0!</v>
      </c>
    </row>
    <row r="155">
      <c r="A155" s="39"/>
      <c r="K155" s="40">
        <f>COUNTA(Dhan_Trade_Summary!A:A)-1</f>
        <v>0</v>
      </c>
      <c r="L155" s="40">
        <f>COUNTIFS(Dhan_Trade_Summary!R:R,"&gt;0")/COUNTA(Dhan_Trade_Summary!A:A)-1</f>
        <v>-1</v>
      </c>
      <c r="M155" s="40">
        <f>SUM(Dhan_Trade_Summary!R:R)</f>
        <v>0</v>
      </c>
      <c r="N155" s="40" t="str">
        <f>AVERAGE(Dhan_Trade_Summary!R:R)</f>
        <v>#DIV/0!</v>
      </c>
    </row>
    <row r="156">
      <c r="A156" s="39"/>
      <c r="K156" s="40">
        <f>COUNTA(Dhan_Trade_Summary!A:A)-1</f>
        <v>0</v>
      </c>
      <c r="L156" s="40">
        <f>COUNTIFS(Dhan_Trade_Summary!R:R,"&gt;0")/COUNTA(Dhan_Trade_Summary!A:A)-1</f>
        <v>-1</v>
      </c>
      <c r="M156" s="40">
        <f>SUM(Dhan_Trade_Summary!R:R)</f>
        <v>0</v>
      </c>
      <c r="N156" s="40" t="str">
        <f>AVERAGE(Dhan_Trade_Summary!R:R)</f>
        <v>#DIV/0!</v>
      </c>
    </row>
    <row r="157">
      <c r="A157" s="39"/>
      <c r="K157" s="40">
        <f>COUNTA(Dhan_Trade_Summary!A:A)-1</f>
        <v>0</v>
      </c>
      <c r="L157" s="40">
        <f>COUNTIFS(Dhan_Trade_Summary!R:R,"&gt;0")/COUNTA(Dhan_Trade_Summary!A:A)-1</f>
        <v>-1</v>
      </c>
      <c r="M157" s="40">
        <f>SUM(Dhan_Trade_Summary!R:R)</f>
        <v>0</v>
      </c>
      <c r="N157" s="40" t="str">
        <f>AVERAGE(Dhan_Trade_Summary!R:R)</f>
        <v>#DIV/0!</v>
      </c>
    </row>
    <row r="158">
      <c r="A158" s="39"/>
      <c r="K158" s="40">
        <f>COUNTA(Dhan_Trade_Summary!A:A)-1</f>
        <v>0</v>
      </c>
      <c r="L158" s="40">
        <f>COUNTIFS(Dhan_Trade_Summary!R:R,"&gt;0")/COUNTA(Dhan_Trade_Summary!A:A)-1</f>
        <v>-1</v>
      </c>
      <c r="M158" s="40">
        <f>SUM(Dhan_Trade_Summary!R:R)</f>
        <v>0</v>
      </c>
      <c r="N158" s="40" t="str">
        <f>AVERAGE(Dhan_Trade_Summary!R:R)</f>
        <v>#DIV/0!</v>
      </c>
    </row>
    <row r="159">
      <c r="A159" s="39"/>
      <c r="K159" s="40">
        <f>COUNTA(Dhan_Trade_Summary!A:A)-1</f>
        <v>0</v>
      </c>
      <c r="L159" s="40">
        <f>COUNTIFS(Dhan_Trade_Summary!R:R,"&gt;0")/COUNTA(Dhan_Trade_Summary!A:A)-1</f>
        <v>-1</v>
      </c>
      <c r="M159" s="40">
        <f>SUM(Dhan_Trade_Summary!R:R)</f>
        <v>0</v>
      </c>
      <c r="N159" s="40" t="str">
        <f>AVERAGE(Dhan_Trade_Summary!R:R)</f>
        <v>#DIV/0!</v>
      </c>
    </row>
    <row r="160">
      <c r="A160" s="39"/>
      <c r="K160" s="40">
        <f>COUNTA(Dhan_Trade_Summary!A:A)-1</f>
        <v>0</v>
      </c>
      <c r="L160" s="40">
        <f>COUNTIFS(Dhan_Trade_Summary!R:R,"&gt;0")/COUNTA(Dhan_Trade_Summary!A:A)-1</f>
        <v>-1</v>
      </c>
      <c r="M160" s="40">
        <f>SUM(Dhan_Trade_Summary!R:R)</f>
        <v>0</v>
      </c>
      <c r="N160" s="40" t="str">
        <f>AVERAGE(Dhan_Trade_Summary!R:R)</f>
        <v>#DIV/0!</v>
      </c>
    </row>
    <row r="161">
      <c r="A161" s="39"/>
      <c r="K161" s="40">
        <f>COUNTA(Dhan_Trade_Summary!A:A)-1</f>
        <v>0</v>
      </c>
      <c r="L161" s="40">
        <f>COUNTIFS(Dhan_Trade_Summary!R:R,"&gt;0")/COUNTA(Dhan_Trade_Summary!A:A)-1</f>
        <v>-1</v>
      </c>
      <c r="M161" s="40">
        <f>SUM(Dhan_Trade_Summary!R:R)</f>
        <v>0</v>
      </c>
      <c r="N161" s="40" t="str">
        <f>AVERAGE(Dhan_Trade_Summary!R:R)</f>
        <v>#DIV/0!</v>
      </c>
    </row>
    <row r="162">
      <c r="A162" s="39"/>
      <c r="K162" s="40">
        <f>COUNTA(Dhan_Trade_Summary!A:A)-1</f>
        <v>0</v>
      </c>
      <c r="L162" s="40">
        <f>COUNTIFS(Dhan_Trade_Summary!R:R,"&gt;0")/COUNTA(Dhan_Trade_Summary!A:A)-1</f>
        <v>-1</v>
      </c>
      <c r="M162" s="40">
        <f>SUM(Dhan_Trade_Summary!R:R)</f>
        <v>0</v>
      </c>
      <c r="N162" s="40" t="str">
        <f>AVERAGE(Dhan_Trade_Summary!R:R)</f>
        <v>#DIV/0!</v>
      </c>
    </row>
    <row r="163">
      <c r="A163" s="39"/>
      <c r="K163" s="40">
        <f>COUNTA(Dhan_Trade_Summary!A:A)-1</f>
        <v>0</v>
      </c>
      <c r="L163" s="40">
        <f>COUNTIFS(Dhan_Trade_Summary!R:R,"&gt;0")/COUNTA(Dhan_Trade_Summary!A:A)-1</f>
        <v>-1</v>
      </c>
      <c r="M163" s="40">
        <f>SUM(Dhan_Trade_Summary!R:R)</f>
        <v>0</v>
      </c>
      <c r="N163" s="40" t="str">
        <f>AVERAGE(Dhan_Trade_Summary!R:R)</f>
        <v>#DIV/0!</v>
      </c>
    </row>
    <row r="164">
      <c r="A164" s="39"/>
      <c r="K164" s="40">
        <f>COUNTA(Dhan_Trade_Summary!A:A)-1</f>
        <v>0</v>
      </c>
      <c r="L164" s="40">
        <f>COUNTIFS(Dhan_Trade_Summary!R:R,"&gt;0")/COUNTA(Dhan_Trade_Summary!A:A)-1</f>
        <v>-1</v>
      </c>
      <c r="M164" s="40">
        <f>SUM(Dhan_Trade_Summary!R:R)</f>
        <v>0</v>
      </c>
      <c r="N164" s="40" t="str">
        <f>AVERAGE(Dhan_Trade_Summary!R:R)</f>
        <v>#DIV/0!</v>
      </c>
    </row>
    <row r="165">
      <c r="A165" s="39"/>
      <c r="K165" s="40">
        <f>COUNTA(Dhan_Trade_Summary!A:A)-1</f>
        <v>0</v>
      </c>
      <c r="L165" s="40">
        <f>COUNTIFS(Dhan_Trade_Summary!R:R,"&gt;0")/COUNTA(Dhan_Trade_Summary!A:A)-1</f>
        <v>-1</v>
      </c>
      <c r="M165" s="40">
        <f>SUM(Dhan_Trade_Summary!R:R)</f>
        <v>0</v>
      </c>
      <c r="N165" s="40" t="str">
        <f>AVERAGE(Dhan_Trade_Summary!R:R)</f>
        <v>#DIV/0!</v>
      </c>
    </row>
    <row r="166">
      <c r="A166" s="39"/>
      <c r="K166" s="40">
        <f>COUNTA(Dhan_Trade_Summary!A:A)-1</f>
        <v>0</v>
      </c>
      <c r="L166" s="40">
        <f>COUNTIFS(Dhan_Trade_Summary!R:R,"&gt;0")/COUNTA(Dhan_Trade_Summary!A:A)-1</f>
        <v>-1</v>
      </c>
      <c r="M166" s="40">
        <f>SUM(Dhan_Trade_Summary!R:R)</f>
        <v>0</v>
      </c>
      <c r="N166" s="40" t="str">
        <f>AVERAGE(Dhan_Trade_Summary!R:R)</f>
        <v>#DIV/0!</v>
      </c>
    </row>
    <row r="167">
      <c r="A167" s="39"/>
      <c r="K167" s="40">
        <f>COUNTA(Dhan_Trade_Summary!A:A)-1</f>
        <v>0</v>
      </c>
      <c r="L167" s="40">
        <f>COUNTIFS(Dhan_Trade_Summary!R:R,"&gt;0")/COUNTA(Dhan_Trade_Summary!A:A)-1</f>
        <v>-1</v>
      </c>
      <c r="M167" s="40">
        <f>SUM(Dhan_Trade_Summary!R:R)</f>
        <v>0</v>
      </c>
      <c r="N167" s="40" t="str">
        <f>AVERAGE(Dhan_Trade_Summary!R:R)</f>
        <v>#DIV/0!</v>
      </c>
    </row>
    <row r="168">
      <c r="A168" s="39"/>
      <c r="K168" s="40">
        <f>COUNTA(Dhan_Trade_Summary!A:A)-1</f>
        <v>0</v>
      </c>
      <c r="L168" s="40">
        <f>COUNTIFS(Dhan_Trade_Summary!R:R,"&gt;0")/COUNTA(Dhan_Trade_Summary!A:A)-1</f>
        <v>-1</v>
      </c>
      <c r="M168" s="40">
        <f>SUM(Dhan_Trade_Summary!R:R)</f>
        <v>0</v>
      </c>
      <c r="N168" s="40" t="str">
        <f>AVERAGE(Dhan_Trade_Summary!R:R)</f>
        <v>#DIV/0!</v>
      </c>
    </row>
    <row r="169">
      <c r="A169" s="39"/>
      <c r="K169" s="40">
        <f>COUNTA(Dhan_Trade_Summary!A:A)-1</f>
        <v>0</v>
      </c>
      <c r="L169" s="40">
        <f>COUNTIFS(Dhan_Trade_Summary!R:R,"&gt;0")/COUNTA(Dhan_Trade_Summary!A:A)-1</f>
        <v>-1</v>
      </c>
      <c r="M169" s="40">
        <f>SUM(Dhan_Trade_Summary!R:R)</f>
        <v>0</v>
      </c>
      <c r="N169" s="40" t="str">
        <f>AVERAGE(Dhan_Trade_Summary!R:R)</f>
        <v>#DIV/0!</v>
      </c>
    </row>
    <row r="170">
      <c r="A170" s="39"/>
      <c r="K170" s="40">
        <f>COUNTA(Dhan_Trade_Summary!A:A)-1</f>
        <v>0</v>
      </c>
      <c r="L170" s="40">
        <f>COUNTIFS(Dhan_Trade_Summary!R:R,"&gt;0")/COUNTA(Dhan_Trade_Summary!A:A)-1</f>
        <v>-1</v>
      </c>
      <c r="M170" s="40">
        <f>SUM(Dhan_Trade_Summary!R:R)</f>
        <v>0</v>
      </c>
      <c r="N170" s="40" t="str">
        <f>AVERAGE(Dhan_Trade_Summary!R:R)</f>
        <v>#DIV/0!</v>
      </c>
    </row>
    <row r="171">
      <c r="A171" s="39"/>
      <c r="K171" s="40">
        <f>COUNTA(Dhan_Trade_Summary!A:A)-1</f>
        <v>0</v>
      </c>
      <c r="L171" s="40">
        <f>COUNTIFS(Dhan_Trade_Summary!R:R,"&gt;0")/COUNTA(Dhan_Trade_Summary!A:A)-1</f>
        <v>-1</v>
      </c>
      <c r="M171" s="40">
        <f>SUM(Dhan_Trade_Summary!R:R)</f>
        <v>0</v>
      </c>
      <c r="N171" s="40" t="str">
        <f>AVERAGE(Dhan_Trade_Summary!R:R)</f>
        <v>#DIV/0!</v>
      </c>
    </row>
    <row r="172">
      <c r="A172" s="39"/>
      <c r="K172" s="40">
        <f>COUNTA(Dhan_Trade_Summary!A:A)-1</f>
        <v>0</v>
      </c>
      <c r="L172" s="40">
        <f>COUNTIFS(Dhan_Trade_Summary!R:R,"&gt;0")/COUNTA(Dhan_Trade_Summary!A:A)-1</f>
        <v>-1</v>
      </c>
      <c r="M172" s="40">
        <f>SUM(Dhan_Trade_Summary!R:R)</f>
        <v>0</v>
      </c>
      <c r="N172" s="40" t="str">
        <f>AVERAGE(Dhan_Trade_Summary!R:R)</f>
        <v>#DIV/0!</v>
      </c>
    </row>
    <row r="173">
      <c r="A173" s="39"/>
      <c r="K173" s="40">
        <f>COUNTA(Dhan_Trade_Summary!A:A)-1</f>
        <v>0</v>
      </c>
      <c r="L173" s="40">
        <f>COUNTIFS(Dhan_Trade_Summary!R:R,"&gt;0")/COUNTA(Dhan_Trade_Summary!A:A)-1</f>
        <v>-1</v>
      </c>
      <c r="M173" s="40">
        <f>SUM(Dhan_Trade_Summary!R:R)</f>
        <v>0</v>
      </c>
      <c r="N173" s="40" t="str">
        <f>AVERAGE(Dhan_Trade_Summary!R:R)</f>
        <v>#DIV/0!</v>
      </c>
    </row>
    <row r="174">
      <c r="A174" s="39"/>
      <c r="K174" s="40">
        <f>COUNTA(Dhan_Trade_Summary!A:A)-1</f>
        <v>0</v>
      </c>
      <c r="L174" s="40">
        <f>COUNTIFS(Dhan_Trade_Summary!R:R,"&gt;0")/COUNTA(Dhan_Trade_Summary!A:A)-1</f>
        <v>-1</v>
      </c>
      <c r="M174" s="40">
        <f>SUM(Dhan_Trade_Summary!R:R)</f>
        <v>0</v>
      </c>
      <c r="N174" s="40" t="str">
        <f>AVERAGE(Dhan_Trade_Summary!R:R)</f>
        <v>#DIV/0!</v>
      </c>
    </row>
    <row r="175">
      <c r="A175" s="39"/>
      <c r="K175" s="40">
        <f>COUNTA(Dhan_Trade_Summary!A:A)-1</f>
        <v>0</v>
      </c>
      <c r="L175" s="40">
        <f>COUNTIFS(Dhan_Trade_Summary!R:R,"&gt;0")/COUNTA(Dhan_Trade_Summary!A:A)-1</f>
        <v>-1</v>
      </c>
      <c r="M175" s="40">
        <f>SUM(Dhan_Trade_Summary!R:R)</f>
        <v>0</v>
      </c>
      <c r="N175" s="40" t="str">
        <f>AVERAGE(Dhan_Trade_Summary!R:R)</f>
        <v>#DIV/0!</v>
      </c>
    </row>
    <row r="176">
      <c r="A176" s="39"/>
      <c r="K176" s="40">
        <f>COUNTA(Dhan_Trade_Summary!A:A)-1</f>
        <v>0</v>
      </c>
      <c r="L176" s="40">
        <f>COUNTIFS(Dhan_Trade_Summary!R:R,"&gt;0")/COUNTA(Dhan_Trade_Summary!A:A)-1</f>
        <v>-1</v>
      </c>
      <c r="M176" s="40">
        <f>SUM(Dhan_Trade_Summary!R:R)</f>
        <v>0</v>
      </c>
      <c r="N176" s="40" t="str">
        <f>AVERAGE(Dhan_Trade_Summary!R:R)</f>
        <v>#DIV/0!</v>
      </c>
    </row>
    <row r="177">
      <c r="A177" s="39"/>
      <c r="K177" s="40">
        <f>COUNTA(Dhan_Trade_Summary!A:A)-1</f>
        <v>0</v>
      </c>
      <c r="L177" s="40">
        <f>COUNTIFS(Dhan_Trade_Summary!R:R,"&gt;0")/COUNTA(Dhan_Trade_Summary!A:A)-1</f>
        <v>-1</v>
      </c>
      <c r="M177" s="40">
        <f>SUM(Dhan_Trade_Summary!R:R)</f>
        <v>0</v>
      </c>
      <c r="N177" s="40" t="str">
        <f>AVERAGE(Dhan_Trade_Summary!R:R)</f>
        <v>#DIV/0!</v>
      </c>
    </row>
    <row r="178">
      <c r="A178" s="39"/>
      <c r="K178" s="40">
        <f>COUNTA(Dhan_Trade_Summary!A:A)-1</f>
        <v>0</v>
      </c>
      <c r="L178" s="40">
        <f>COUNTIFS(Dhan_Trade_Summary!R:R,"&gt;0")/COUNTA(Dhan_Trade_Summary!A:A)-1</f>
        <v>-1</v>
      </c>
      <c r="M178" s="40">
        <f>SUM(Dhan_Trade_Summary!R:R)</f>
        <v>0</v>
      </c>
      <c r="N178" s="40" t="str">
        <f>AVERAGE(Dhan_Trade_Summary!R:R)</f>
        <v>#DIV/0!</v>
      </c>
    </row>
    <row r="179">
      <c r="A179" s="39"/>
      <c r="K179" s="40">
        <f>COUNTA(Dhan_Trade_Summary!A:A)-1</f>
        <v>0</v>
      </c>
      <c r="L179" s="40">
        <f>COUNTIFS(Dhan_Trade_Summary!R:R,"&gt;0")/COUNTA(Dhan_Trade_Summary!A:A)-1</f>
        <v>-1</v>
      </c>
      <c r="M179" s="40">
        <f>SUM(Dhan_Trade_Summary!R:R)</f>
        <v>0</v>
      </c>
      <c r="N179" s="40" t="str">
        <f>AVERAGE(Dhan_Trade_Summary!R:R)</f>
        <v>#DIV/0!</v>
      </c>
    </row>
    <row r="180">
      <c r="A180" s="39"/>
      <c r="K180" s="40">
        <f>COUNTA(Dhan_Trade_Summary!A:A)-1</f>
        <v>0</v>
      </c>
      <c r="L180" s="40">
        <f>COUNTIFS(Dhan_Trade_Summary!R:R,"&gt;0")/COUNTA(Dhan_Trade_Summary!A:A)-1</f>
        <v>-1</v>
      </c>
      <c r="M180" s="40">
        <f>SUM(Dhan_Trade_Summary!R:R)</f>
        <v>0</v>
      </c>
      <c r="N180" s="40" t="str">
        <f>AVERAGE(Dhan_Trade_Summary!R:R)</f>
        <v>#DIV/0!</v>
      </c>
    </row>
    <row r="181">
      <c r="A181" s="39"/>
      <c r="K181" s="40">
        <f>COUNTA(Dhan_Trade_Summary!A:A)-1</f>
        <v>0</v>
      </c>
      <c r="L181" s="40">
        <f>COUNTIFS(Dhan_Trade_Summary!R:R,"&gt;0")/COUNTA(Dhan_Trade_Summary!A:A)-1</f>
        <v>-1</v>
      </c>
      <c r="M181" s="40">
        <f>SUM(Dhan_Trade_Summary!R:R)</f>
        <v>0</v>
      </c>
      <c r="N181" s="40" t="str">
        <f>AVERAGE(Dhan_Trade_Summary!R:R)</f>
        <v>#DIV/0!</v>
      </c>
    </row>
    <row r="182">
      <c r="A182" s="39"/>
      <c r="K182" s="40">
        <f>COUNTA(Dhan_Trade_Summary!A:A)-1</f>
        <v>0</v>
      </c>
      <c r="L182" s="40">
        <f>COUNTIFS(Dhan_Trade_Summary!R:R,"&gt;0")/COUNTA(Dhan_Trade_Summary!A:A)-1</f>
        <v>-1</v>
      </c>
      <c r="M182" s="40">
        <f>SUM(Dhan_Trade_Summary!R:R)</f>
        <v>0</v>
      </c>
      <c r="N182" s="40" t="str">
        <f>AVERAGE(Dhan_Trade_Summary!R:R)</f>
        <v>#DIV/0!</v>
      </c>
    </row>
    <row r="183">
      <c r="A183" s="39"/>
      <c r="K183" s="40">
        <f>COUNTA(Dhan_Trade_Summary!A:A)-1</f>
        <v>0</v>
      </c>
      <c r="L183" s="40">
        <f>COUNTIFS(Dhan_Trade_Summary!R:R,"&gt;0")/COUNTA(Dhan_Trade_Summary!A:A)-1</f>
        <v>-1</v>
      </c>
      <c r="M183" s="40">
        <f>SUM(Dhan_Trade_Summary!R:R)</f>
        <v>0</v>
      </c>
      <c r="N183" s="40" t="str">
        <f>AVERAGE(Dhan_Trade_Summary!R:R)</f>
        <v>#DIV/0!</v>
      </c>
    </row>
    <row r="184">
      <c r="A184" s="39"/>
      <c r="K184" s="40">
        <f>COUNTA(Dhan_Trade_Summary!A:A)-1</f>
        <v>0</v>
      </c>
      <c r="L184" s="40">
        <f>COUNTIFS(Dhan_Trade_Summary!R:R,"&gt;0")/COUNTA(Dhan_Trade_Summary!A:A)-1</f>
        <v>-1</v>
      </c>
      <c r="M184" s="40">
        <f>SUM(Dhan_Trade_Summary!R:R)</f>
        <v>0</v>
      </c>
      <c r="N184" s="40" t="str">
        <f>AVERAGE(Dhan_Trade_Summary!R:R)</f>
        <v>#DIV/0!</v>
      </c>
    </row>
    <row r="185">
      <c r="A185" s="39"/>
      <c r="K185" s="40">
        <f>COUNTA(Dhan_Trade_Summary!A:A)-1</f>
        <v>0</v>
      </c>
      <c r="L185" s="40">
        <f>COUNTIFS(Dhan_Trade_Summary!R:R,"&gt;0")/COUNTA(Dhan_Trade_Summary!A:A)-1</f>
        <v>-1</v>
      </c>
      <c r="M185" s="40">
        <f>SUM(Dhan_Trade_Summary!R:R)</f>
        <v>0</v>
      </c>
      <c r="N185" s="40" t="str">
        <f>AVERAGE(Dhan_Trade_Summary!R:R)</f>
        <v>#DIV/0!</v>
      </c>
    </row>
    <row r="186">
      <c r="A186" s="39"/>
      <c r="K186" s="40">
        <f>COUNTA(Dhan_Trade_Summary!A:A)-1</f>
        <v>0</v>
      </c>
      <c r="L186" s="40">
        <f>COUNTIFS(Dhan_Trade_Summary!R:R,"&gt;0")/COUNTA(Dhan_Trade_Summary!A:A)-1</f>
        <v>-1</v>
      </c>
      <c r="M186" s="40">
        <f>SUM(Dhan_Trade_Summary!R:R)</f>
        <v>0</v>
      </c>
      <c r="N186" s="40" t="str">
        <f>AVERAGE(Dhan_Trade_Summary!R:R)</f>
        <v>#DIV/0!</v>
      </c>
    </row>
    <row r="187">
      <c r="A187" s="39"/>
      <c r="K187" s="40">
        <f>COUNTA(Dhan_Trade_Summary!A:A)-1</f>
        <v>0</v>
      </c>
      <c r="L187" s="40">
        <f>COUNTIFS(Dhan_Trade_Summary!R:R,"&gt;0")/COUNTA(Dhan_Trade_Summary!A:A)-1</f>
        <v>-1</v>
      </c>
      <c r="M187" s="40">
        <f>SUM(Dhan_Trade_Summary!R:R)</f>
        <v>0</v>
      </c>
      <c r="N187" s="40" t="str">
        <f>AVERAGE(Dhan_Trade_Summary!R:R)</f>
        <v>#DIV/0!</v>
      </c>
    </row>
    <row r="188">
      <c r="A188" s="39"/>
      <c r="K188" s="40">
        <f>COUNTA(Dhan_Trade_Summary!A:A)-1</f>
        <v>0</v>
      </c>
      <c r="L188" s="40">
        <f>COUNTIFS(Dhan_Trade_Summary!R:R,"&gt;0")/COUNTA(Dhan_Trade_Summary!A:A)-1</f>
        <v>-1</v>
      </c>
      <c r="M188" s="40">
        <f>SUM(Dhan_Trade_Summary!R:R)</f>
        <v>0</v>
      </c>
      <c r="N188" s="40" t="str">
        <f>AVERAGE(Dhan_Trade_Summary!R:R)</f>
        <v>#DIV/0!</v>
      </c>
    </row>
    <row r="189">
      <c r="A189" s="39"/>
      <c r="K189" s="40">
        <f>COUNTA(Dhan_Trade_Summary!A:A)-1</f>
        <v>0</v>
      </c>
      <c r="L189" s="40">
        <f>COUNTIFS(Dhan_Trade_Summary!R:R,"&gt;0")/COUNTA(Dhan_Trade_Summary!A:A)-1</f>
        <v>-1</v>
      </c>
      <c r="M189" s="40">
        <f>SUM(Dhan_Trade_Summary!R:R)</f>
        <v>0</v>
      </c>
      <c r="N189" s="40" t="str">
        <f>AVERAGE(Dhan_Trade_Summary!R:R)</f>
        <v>#DIV/0!</v>
      </c>
    </row>
    <row r="190">
      <c r="A190" s="39"/>
      <c r="K190" s="40">
        <f>COUNTA(Dhan_Trade_Summary!A:A)-1</f>
        <v>0</v>
      </c>
      <c r="L190" s="40">
        <f>COUNTIFS(Dhan_Trade_Summary!R:R,"&gt;0")/COUNTA(Dhan_Trade_Summary!A:A)-1</f>
        <v>-1</v>
      </c>
      <c r="M190" s="40">
        <f>SUM(Dhan_Trade_Summary!R:R)</f>
        <v>0</v>
      </c>
      <c r="N190" s="40" t="str">
        <f>AVERAGE(Dhan_Trade_Summary!R:R)</f>
        <v>#DIV/0!</v>
      </c>
    </row>
    <row r="191">
      <c r="A191" s="39"/>
      <c r="K191" s="40">
        <f>COUNTA(Dhan_Trade_Summary!A:A)-1</f>
        <v>0</v>
      </c>
      <c r="L191" s="40">
        <f>COUNTIFS(Dhan_Trade_Summary!R:R,"&gt;0")/COUNTA(Dhan_Trade_Summary!A:A)-1</f>
        <v>-1</v>
      </c>
      <c r="M191" s="40">
        <f>SUM(Dhan_Trade_Summary!R:R)</f>
        <v>0</v>
      </c>
      <c r="N191" s="40" t="str">
        <f>AVERAGE(Dhan_Trade_Summary!R:R)</f>
        <v>#DIV/0!</v>
      </c>
    </row>
    <row r="192">
      <c r="A192" s="39"/>
      <c r="K192" s="40">
        <f>COUNTA(Dhan_Trade_Summary!A:A)-1</f>
        <v>0</v>
      </c>
      <c r="L192" s="40">
        <f>COUNTIFS(Dhan_Trade_Summary!R:R,"&gt;0")/COUNTA(Dhan_Trade_Summary!A:A)-1</f>
        <v>-1</v>
      </c>
      <c r="M192" s="40">
        <f>SUM(Dhan_Trade_Summary!R:R)</f>
        <v>0</v>
      </c>
      <c r="N192" s="40" t="str">
        <f>AVERAGE(Dhan_Trade_Summary!R:R)</f>
        <v>#DIV/0!</v>
      </c>
    </row>
    <row r="193">
      <c r="A193" s="39"/>
      <c r="K193" s="40">
        <f>COUNTA(Dhan_Trade_Summary!A:A)-1</f>
        <v>0</v>
      </c>
      <c r="L193" s="40">
        <f>COUNTIFS(Dhan_Trade_Summary!R:R,"&gt;0")/COUNTA(Dhan_Trade_Summary!A:A)-1</f>
        <v>-1</v>
      </c>
      <c r="M193" s="40">
        <f>SUM(Dhan_Trade_Summary!R:R)</f>
        <v>0</v>
      </c>
      <c r="N193" s="40" t="str">
        <f>AVERAGE(Dhan_Trade_Summary!R:R)</f>
        <v>#DIV/0!</v>
      </c>
    </row>
    <row r="194">
      <c r="A194" s="39"/>
      <c r="K194" s="40">
        <f>COUNTA(Dhan_Trade_Summary!A:A)-1</f>
        <v>0</v>
      </c>
      <c r="L194" s="40">
        <f>COUNTIFS(Dhan_Trade_Summary!R:R,"&gt;0")/COUNTA(Dhan_Trade_Summary!A:A)-1</f>
        <v>-1</v>
      </c>
      <c r="M194" s="40">
        <f>SUM(Dhan_Trade_Summary!R:R)</f>
        <v>0</v>
      </c>
      <c r="N194" s="40" t="str">
        <f>AVERAGE(Dhan_Trade_Summary!R:R)</f>
        <v>#DIV/0!</v>
      </c>
    </row>
    <row r="195">
      <c r="A195" s="39"/>
      <c r="K195" s="40">
        <f>COUNTA(Dhan_Trade_Summary!A:A)-1</f>
        <v>0</v>
      </c>
      <c r="L195" s="40">
        <f>COUNTIFS(Dhan_Trade_Summary!R:R,"&gt;0")/COUNTA(Dhan_Trade_Summary!A:A)-1</f>
        <v>-1</v>
      </c>
      <c r="M195" s="40">
        <f>SUM(Dhan_Trade_Summary!R:R)</f>
        <v>0</v>
      </c>
      <c r="N195" s="40" t="str">
        <f>AVERAGE(Dhan_Trade_Summary!R:R)</f>
        <v>#DIV/0!</v>
      </c>
    </row>
    <row r="196">
      <c r="A196" s="39"/>
      <c r="K196" s="40">
        <f>COUNTA(Dhan_Trade_Summary!A:A)-1</f>
        <v>0</v>
      </c>
      <c r="L196" s="40">
        <f>COUNTIFS(Dhan_Trade_Summary!R:R,"&gt;0")/COUNTA(Dhan_Trade_Summary!A:A)-1</f>
        <v>-1</v>
      </c>
      <c r="M196" s="40">
        <f>SUM(Dhan_Trade_Summary!R:R)</f>
        <v>0</v>
      </c>
      <c r="N196" s="40" t="str">
        <f>AVERAGE(Dhan_Trade_Summary!R:R)</f>
        <v>#DIV/0!</v>
      </c>
    </row>
    <row r="197">
      <c r="A197" s="39"/>
      <c r="K197" s="40">
        <f>COUNTA(Dhan_Trade_Summary!A:A)-1</f>
        <v>0</v>
      </c>
      <c r="L197" s="40">
        <f>COUNTIFS(Dhan_Trade_Summary!R:R,"&gt;0")/COUNTA(Dhan_Trade_Summary!A:A)-1</f>
        <v>-1</v>
      </c>
      <c r="M197" s="40">
        <f>SUM(Dhan_Trade_Summary!R:R)</f>
        <v>0</v>
      </c>
      <c r="N197" s="40" t="str">
        <f>AVERAGE(Dhan_Trade_Summary!R:R)</f>
        <v>#DIV/0!</v>
      </c>
    </row>
    <row r="198">
      <c r="A198" s="39"/>
      <c r="K198" s="40">
        <f>COUNTA(Dhan_Trade_Summary!A:A)-1</f>
        <v>0</v>
      </c>
      <c r="L198" s="40">
        <f>COUNTIFS(Dhan_Trade_Summary!R:R,"&gt;0")/COUNTA(Dhan_Trade_Summary!A:A)-1</f>
        <v>-1</v>
      </c>
      <c r="M198" s="40">
        <f>SUM(Dhan_Trade_Summary!R:R)</f>
        <v>0</v>
      </c>
      <c r="N198" s="40" t="str">
        <f>AVERAGE(Dhan_Trade_Summary!R:R)</f>
        <v>#DIV/0!</v>
      </c>
    </row>
    <row r="199">
      <c r="A199" s="39"/>
      <c r="K199" s="40">
        <f>COUNTA(Dhan_Trade_Summary!A:A)-1</f>
        <v>0</v>
      </c>
      <c r="L199" s="40">
        <f>COUNTIFS(Dhan_Trade_Summary!R:R,"&gt;0")/COUNTA(Dhan_Trade_Summary!A:A)-1</f>
        <v>-1</v>
      </c>
      <c r="M199" s="40">
        <f>SUM(Dhan_Trade_Summary!R:R)</f>
        <v>0</v>
      </c>
      <c r="N199" s="40" t="str">
        <f>AVERAGE(Dhan_Trade_Summary!R:R)</f>
        <v>#DIV/0!</v>
      </c>
    </row>
    <row r="200">
      <c r="A200" s="39"/>
      <c r="K200" s="40">
        <f>COUNTA(Dhan_Trade_Summary!A:A)-1</f>
        <v>0</v>
      </c>
      <c r="L200" s="40">
        <f>COUNTIFS(Dhan_Trade_Summary!R:R,"&gt;0")/COUNTA(Dhan_Trade_Summary!A:A)-1</f>
        <v>-1</v>
      </c>
      <c r="M200" s="40">
        <f>SUM(Dhan_Trade_Summary!R:R)</f>
        <v>0</v>
      </c>
      <c r="N200" s="40" t="str">
        <f>AVERAGE(Dhan_Trade_Summary!R:R)</f>
        <v>#DIV/0!</v>
      </c>
    </row>
    <row r="201">
      <c r="A201" s="39"/>
      <c r="K201" s="40">
        <f>COUNTA(Dhan_Trade_Summary!A:A)-1</f>
        <v>0</v>
      </c>
      <c r="L201" s="40">
        <f>COUNTIFS(Dhan_Trade_Summary!R:R,"&gt;0")/COUNTA(Dhan_Trade_Summary!A:A)-1</f>
        <v>-1</v>
      </c>
      <c r="M201" s="40">
        <f>SUM(Dhan_Trade_Summary!R:R)</f>
        <v>0</v>
      </c>
      <c r="N201" s="40" t="str">
        <f>AVERAGE(Dhan_Trade_Summary!R:R)</f>
        <v>#DIV/0!</v>
      </c>
    </row>
    <row r="202">
      <c r="A202" s="39"/>
      <c r="K202" s="40">
        <f>COUNTA(Dhan_Trade_Summary!A:A)-1</f>
        <v>0</v>
      </c>
      <c r="L202" s="40">
        <f>COUNTIFS(Dhan_Trade_Summary!R:R,"&gt;0")/COUNTA(Dhan_Trade_Summary!A:A)-1</f>
        <v>-1</v>
      </c>
      <c r="M202" s="40">
        <f>SUM(Dhan_Trade_Summary!R:R)</f>
        <v>0</v>
      </c>
      <c r="N202" s="40" t="str">
        <f>AVERAGE(Dhan_Trade_Summary!R:R)</f>
        <v>#DIV/0!</v>
      </c>
    </row>
    <row r="203">
      <c r="A203" s="39"/>
      <c r="K203" s="40">
        <f>COUNTA(Dhan_Trade_Summary!A:A)-1</f>
        <v>0</v>
      </c>
      <c r="L203" s="40">
        <f>COUNTIFS(Dhan_Trade_Summary!R:R,"&gt;0")/COUNTA(Dhan_Trade_Summary!A:A)-1</f>
        <v>-1</v>
      </c>
      <c r="M203" s="40">
        <f>SUM(Dhan_Trade_Summary!R:R)</f>
        <v>0</v>
      </c>
      <c r="N203" s="40" t="str">
        <f>AVERAGE(Dhan_Trade_Summary!R:R)</f>
        <v>#DIV/0!</v>
      </c>
    </row>
    <row r="204">
      <c r="A204" s="39"/>
      <c r="K204" s="40">
        <f>COUNTA(Dhan_Trade_Summary!A:A)-1</f>
        <v>0</v>
      </c>
      <c r="L204" s="40">
        <f>COUNTIFS(Dhan_Trade_Summary!R:R,"&gt;0")/COUNTA(Dhan_Trade_Summary!A:A)-1</f>
        <v>-1</v>
      </c>
      <c r="M204" s="40">
        <f>SUM(Dhan_Trade_Summary!R:R)</f>
        <v>0</v>
      </c>
      <c r="N204" s="40" t="str">
        <f>AVERAGE(Dhan_Trade_Summary!R:R)</f>
        <v>#DIV/0!</v>
      </c>
    </row>
    <row r="205">
      <c r="A205" s="39"/>
      <c r="K205" s="40">
        <f>COUNTA(Dhan_Trade_Summary!A:A)-1</f>
        <v>0</v>
      </c>
      <c r="L205" s="40">
        <f>COUNTIFS(Dhan_Trade_Summary!R:R,"&gt;0")/COUNTA(Dhan_Trade_Summary!A:A)-1</f>
        <v>-1</v>
      </c>
      <c r="M205" s="40">
        <f>SUM(Dhan_Trade_Summary!R:R)</f>
        <v>0</v>
      </c>
      <c r="N205" s="40" t="str">
        <f>AVERAGE(Dhan_Trade_Summary!R:R)</f>
        <v>#DIV/0!</v>
      </c>
    </row>
    <row r="206">
      <c r="A206" s="39"/>
      <c r="K206" s="40">
        <f>COUNTA(Dhan_Trade_Summary!A:A)-1</f>
        <v>0</v>
      </c>
      <c r="L206" s="40">
        <f>COUNTIFS(Dhan_Trade_Summary!R:R,"&gt;0")/COUNTA(Dhan_Trade_Summary!A:A)-1</f>
        <v>-1</v>
      </c>
      <c r="M206" s="40">
        <f>SUM(Dhan_Trade_Summary!R:R)</f>
        <v>0</v>
      </c>
      <c r="N206" s="40" t="str">
        <f>AVERAGE(Dhan_Trade_Summary!R:R)</f>
        <v>#DIV/0!</v>
      </c>
    </row>
    <row r="207">
      <c r="A207" s="39"/>
      <c r="K207" s="40">
        <f>COUNTA(Dhan_Trade_Summary!A:A)-1</f>
        <v>0</v>
      </c>
      <c r="L207" s="40">
        <f>COUNTIFS(Dhan_Trade_Summary!R:R,"&gt;0")/COUNTA(Dhan_Trade_Summary!A:A)-1</f>
        <v>-1</v>
      </c>
      <c r="M207" s="40">
        <f>SUM(Dhan_Trade_Summary!R:R)</f>
        <v>0</v>
      </c>
      <c r="N207" s="40" t="str">
        <f>AVERAGE(Dhan_Trade_Summary!R:R)</f>
        <v>#DIV/0!</v>
      </c>
    </row>
    <row r="208">
      <c r="A208" s="39"/>
      <c r="K208" s="40">
        <f>COUNTA(Dhan_Trade_Summary!A:A)-1</f>
        <v>0</v>
      </c>
      <c r="L208" s="40">
        <f>COUNTIFS(Dhan_Trade_Summary!R:R,"&gt;0")/COUNTA(Dhan_Trade_Summary!A:A)-1</f>
        <v>-1</v>
      </c>
      <c r="M208" s="40">
        <f>SUM(Dhan_Trade_Summary!R:R)</f>
        <v>0</v>
      </c>
      <c r="N208" s="40" t="str">
        <f>AVERAGE(Dhan_Trade_Summary!R:R)</f>
        <v>#DIV/0!</v>
      </c>
    </row>
    <row r="209">
      <c r="A209" s="39"/>
      <c r="K209" s="40">
        <f>COUNTA(Dhan_Trade_Summary!A:A)-1</f>
        <v>0</v>
      </c>
      <c r="L209" s="40">
        <f>COUNTIFS(Dhan_Trade_Summary!R:R,"&gt;0")/COUNTA(Dhan_Trade_Summary!A:A)-1</f>
        <v>-1</v>
      </c>
      <c r="M209" s="40">
        <f>SUM(Dhan_Trade_Summary!R:R)</f>
        <v>0</v>
      </c>
      <c r="N209" s="40" t="str">
        <f>AVERAGE(Dhan_Trade_Summary!R:R)</f>
        <v>#DIV/0!</v>
      </c>
    </row>
    <row r="210">
      <c r="A210" s="39"/>
      <c r="K210" s="40">
        <f>COUNTA(Dhan_Trade_Summary!A:A)-1</f>
        <v>0</v>
      </c>
      <c r="L210" s="40">
        <f>COUNTIFS(Dhan_Trade_Summary!R:R,"&gt;0")/COUNTA(Dhan_Trade_Summary!A:A)-1</f>
        <v>-1</v>
      </c>
      <c r="M210" s="40">
        <f>SUM(Dhan_Trade_Summary!R:R)</f>
        <v>0</v>
      </c>
      <c r="N210" s="40" t="str">
        <f>AVERAGE(Dhan_Trade_Summary!R:R)</f>
        <v>#DIV/0!</v>
      </c>
    </row>
    <row r="211">
      <c r="A211" s="39"/>
      <c r="K211" s="40">
        <f>COUNTA(Dhan_Trade_Summary!A:A)-1</f>
        <v>0</v>
      </c>
      <c r="L211" s="40">
        <f>COUNTIFS(Dhan_Trade_Summary!R:R,"&gt;0")/COUNTA(Dhan_Trade_Summary!A:A)-1</f>
        <v>-1</v>
      </c>
      <c r="M211" s="40">
        <f>SUM(Dhan_Trade_Summary!R:R)</f>
        <v>0</v>
      </c>
      <c r="N211" s="40" t="str">
        <f>AVERAGE(Dhan_Trade_Summary!R:R)</f>
        <v>#DIV/0!</v>
      </c>
    </row>
    <row r="212">
      <c r="A212" s="39"/>
      <c r="K212" s="40">
        <f>COUNTA(Dhan_Trade_Summary!A:A)-1</f>
        <v>0</v>
      </c>
      <c r="L212" s="40">
        <f>COUNTIFS(Dhan_Trade_Summary!R:R,"&gt;0")/COUNTA(Dhan_Trade_Summary!A:A)-1</f>
        <v>-1</v>
      </c>
      <c r="M212" s="40">
        <f>SUM(Dhan_Trade_Summary!R:R)</f>
        <v>0</v>
      </c>
      <c r="N212" s="40" t="str">
        <f>AVERAGE(Dhan_Trade_Summary!R:R)</f>
        <v>#DIV/0!</v>
      </c>
    </row>
    <row r="213">
      <c r="A213" s="39"/>
      <c r="K213" s="40">
        <f>COUNTA(Dhan_Trade_Summary!A:A)-1</f>
        <v>0</v>
      </c>
      <c r="L213" s="40">
        <f>COUNTIFS(Dhan_Trade_Summary!R:R,"&gt;0")/COUNTA(Dhan_Trade_Summary!A:A)-1</f>
        <v>-1</v>
      </c>
      <c r="M213" s="40">
        <f>SUM(Dhan_Trade_Summary!R:R)</f>
        <v>0</v>
      </c>
      <c r="N213" s="40" t="str">
        <f>AVERAGE(Dhan_Trade_Summary!R:R)</f>
        <v>#DIV/0!</v>
      </c>
    </row>
    <row r="214">
      <c r="A214" s="39"/>
      <c r="K214" s="40">
        <f>COUNTA(Dhan_Trade_Summary!A:A)-1</f>
        <v>0</v>
      </c>
      <c r="L214" s="40">
        <f>COUNTIFS(Dhan_Trade_Summary!R:R,"&gt;0")/COUNTA(Dhan_Trade_Summary!A:A)-1</f>
        <v>-1</v>
      </c>
      <c r="M214" s="40">
        <f>SUM(Dhan_Trade_Summary!R:R)</f>
        <v>0</v>
      </c>
      <c r="N214" s="40" t="str">
        <f>AVERAGE(Dhan_Trade_Summary!R:R)</f>
        <v>#DIV/0!</v>
      </c>
    </row>
    <row r="215">
      <c r="A215" s="39"/>
      <c r="K215" s="40">
        <f>COUNTA(Dhan_Trade_Summary!A:A)-1</f>
        <v>0</v>
      </c>
      <c r="L215" s="40">
        <f>COUNTIFS(Dhan_Trade_Summary!R:R,"&gt;0")/COUNTA(Dhan_Trade_Summary!A:A)-1</f>
        <v>-1</v>
      </c>
      <c r="M215" s="40">
        <f>SUM(Dhan_Trade_Summary!R:R)</f>
        <v>0</v>
      </c>
      <c r="N215" s="40" t="str">
        <f>AVERAGE(Dhan_Trade_Summary!R:R)</f>
        <v>#DIV/0!</v>
      </c>
    </row>
    <row r="216">
      <c r="A216" s="39"/>
      <c r="K216" s="40">
        <f>COUNTA(Dhan_Trade_Summary!A:A)-1</f>
        <v>0</v>
      </c>
      <c r="L216" s="40">
        <f>COUNTIFS(Dhan_Trade_Summary!R:R,"&gt;0")/COUNTA(Dhan_Trade_Summary!A:A)-1</f>
        <v>-1</v>
      </c>
      <c r="M216" s="40">
        <f>SUM(Dhan_Trade_Summary!R:R)</f>
        <v>0</v>
      </c>
      <c r="N216" s="40" t="str">
        <f>AVERAGE(Dhan_Trade_Summary!R:R)</f>
        <v>#DIV/0!</v>
      </c>
    </row>
    <row r="217">
      <c r="A217" s="39"/>
      <c r="K217" s="40">
        <f>COUNTA(Dhan_Trade_Summary!A:A)-1</f>
        <v>0</v>
      </c>
      <c r="L217" s="40">
        <f>COUNTIFS(Dhan_Trade_Summary!R:R,"&gt;0")/COUNTA(Dhan_Trade_Summary!A:A)-1</f>
        <v>-1</v>
      </c>
      <c r="M217" s="40">
        <f>SUM(Dhan_Trade_Summary!R:R)</f>
        <v>0</v>
      </c>
      <c r="N217" s="40" t="str">
        <f>AVERAGE(Dhan_Trade_Summary!R:R)</f>
        <v>#DIV/0!</v>
      </c>
    </row>
    <row r="218">
      <c r="A218" s="39"/>
      <c r="K218" s="40">
        <f>COUNTA(Dhan_Trade_Summary!A:A)-1</f>
        <v>0</v>
      </c>
      <c r="L218" s="40">
        <f>COUNTIFS(Dhan_Trade_Summary!R:R,"&gt;0")/COUNTA(Dhan_Trade_Summary!A:A)-1</f>
        <v>-1</v>
      </c>
      <c r="M218" s="40">
        <f>SUM(Dhan_Trade_Summary!R:R)</f>
        <v>0</v>
      </c>
      <c r="N218" s="40" t="str">
        <f>AVERAGE(Dhan_Trade_Summary!R:R)</f>
        <v>#DIV/0!</v>
      </c>
    </row>
    <row r="219">
      <c r="A219" s="39"/>
      <c r="K219" s="40">
        <f>COUNTA(Dhan_Trade_Summary!A:A)-1</f>
        <v>0</v>
      </c>
      <c r="L219" s="40">
        <f>COUNTIFS(Dhan_Trade_Summary!R:R,"&gt;0")/COUNTA(Dhan_Trade_Summary!A:A)-1</f>
        <v>-1</v>
      </c>
      <c r="M219" s="40">
        <f>SUM(Dhan_Trade_Summary!R:R)</f>
        <v>0</v>
      </c>
      <c r="N219" s="40" t="str">
        <f>AVERAGE(Dhan_Trade_Summary!R:R)</f>
        <v>#DIV/0!</v>
      </c>
    </row>
    <row r="220">
      <c r="A220" s="39"/>
      <c r="K220" s="40">
        <f>COUNTA(Dhan_Trade_Summary!A:A)-1</f>
        <v>0</v>
      </c>
      <c r="L220" s="40">
        <f>COUNTIFS(Dhan_Trade_Summary!R:R,"&gt;0")/COUNTA(Dhan_Trade_Summary!A:A)-1</f>
        <v>-1</v>
      </c>
      <c r="M220" s="40">
        <f>SUM(Dhan_Trade_Summary!R:R)</f>
        <v>0</v>
      </c>
      <c r="N220" s="40" t="str">
        <f>AVERAGE(Dhan_Trade_Summary!R:R)</f>
        <v>#DIV/0!</v>
      </c>
    </row>
    <row r="221">
      <c r="A221" s="39"/>
      <c r="K221" s="40">
        <f>COUNTA(Dhan_Trade_Summary!A:A)-1</f>
        <v>0</v>
      </c>
      <c r="L221" s="40">
        <f>COUNTIFS(Dhan_Trade_Summary!R:R,"&gt;0")/COUNTA(Dhan_Trade_Summary!A:A)-1</f>
        <v>-1</v>
      </c>
      <c r="M221" s="40">
        <f>SUM(Dhan_Trade_Summary!R:R)</f>
        <v>0</v>
      </c>
      <c r="N221" s="40" t="str">
        <f>AVERAGE(Dhan_Trade_Summary!R:R)</f>
        <v>#DIV/0!</v>
      </c>
    </row>
    <row r="222">
      <c r="A222" s="39"/>
      <c r="K222" s="40">
        <f>COUNTA(Dhan_Trade_Summary!A:A)-1</f>
        <v>0</v>
      </c>
      <c r="L222" s="40">
        <f>COUNTIFS(Dhan_Trade_Summary!R:R,"&gt;0")/COUNTA(Dhan_Trade_Summary!A:A)-1</f>
        <v>-1</v>
      </c>
      <c r="M222" s="40">
        <f>SUM(Dhan_Trade_Summary!R:R)</f>
        <v>0</v>
      </c>
      <c r="N222" s="40" t="str">
        <f>AVERAGE(Dhan_Trade_Summary!R:R)</f>
        <v>#DIV/0!</v>
      </c>
    </row>
    <row r="223">
      <c r="A223" s="39"/>
      <c r="K223" s="40">
        <f>COUNTA(Dhan_Trade_Summary!A:A)-1</f>
        <v>0</v>
      </c>
      <c r="L223" s="40">
        <f>COUNTIFS(Dhan_Trade_Summary!R:R,"&gt;0")/COUNTA(Dhan_Trade_Summary!A:A)-1</f>
        <v>-1</v>
      </c>
      <c r="M223" s="40">
        <f>SUM(Dhan_Trade_Summary!R:R)</f>
        <v>0</v>
      </c>
      <c r="N223" s="40" t="str">
        <f>AVERAGE(Dhan_Trade_Summary!R:R)</f>
        <v>#DIV/0!</v>
      </c>
    </row>
    <row r="224">
      <c r="A224" s="39"/>
      <c r="K224" s="40">
        <f>COUNTA(Dhan_Trade_Summary!A:A)-1</f>
        <v>0</v>
      </c>
      <c r="L224" s="40">
        <f>COUNTIFS(Dhan_Trade_Summary!R:R,"&gt;0")/COUNTA(Dhan_Trade_Summary!A:A)-1</f>
        <v>-1</v>
      </c>
      <c r="M224" s="40">
        <f>SUM(Dhan_Trade_Summary!R:R)</f>
        <v>0</v>
      </c>
      <c r="N224" s="40" t="str">
        <f>AVERAGE(Dhan_Trade_Summary!R:R)</f>
        <v>#DIV/0!</v>
      </c>
    </row>
    <row r="225">
      <c r="A225" s="39"/>
      <c r="K225" s="40">
        <f>COUNTA(Dhan_Trade_Summary!A:A)-1</f>
        <v>0</v>
      </c>
      <c r="L225" s="40">
        <f>COUNTIFS(Dhan_Trade_Summary!R:R,"&gt;0")/COUNTA(Dhan_Trade_Summary!A:A)-1</f>
        <v>-1</v>
      </c>
      <c r="M225" s="40">
        <f>SUM(Dhan_Trade_Summary!R:R)</f>
        <v>0</v>
      </c>
      <c r="N225" s="40" t="str">
        <f>AVERAGE(Dhan_Trade_Summary!R:R)</f>
        <v>#DIV/0!</v>
      </c>
    </row>
    <row r="226">
      <c r="A226" s="39"/>
      <c r="K226" s="40">
        <f>COUNTA(Dhan_Trade_Summary!A:A)-1</f>
        <v>0</v>
      </c>
      <c r="L226" s="40">
        <f>COUNTIFS(Dhan_Trade_Summary!R:R,"&gt;0")/COUNTA(Dhan_Trade_Summary!A:A)-1</f>
        <v>-1</v>
      </c>
      <c r="M226" s="40">
        <f>SUM(Dhan_Trade_Summary!R:R)</f>
        <v>0</v>
      </c>
      <c r="N226" s="40" t="str">
        <f>AVERAGE(Dhan_Trade_Summary!R:R)</f>
        <v>#DIV/0!</v>
      </c>
    </row>
    <row r="227">
      <c r="A227" s="39"/>
      <c r="K227" s="40">
        <f>COUNTA(Dhan_Trade_Summary!A:A)-1</f>
        <v>0</v>
      </c>
      <c r="L227" s="40">
        <f>COUNTIFS(Dhan_Trade_Summary!R:R,"&gt;0")/COUNTA(Dhan_Trade_Summary!A:A)-1</f>
        <v>-1</v>
      </c>
      <c r="M227" s="40">
        <f>SUM(Dhan_Trade_Summary!R:R)</f>
        <v>0</v>
      </c>
      <c r="N227" s="40" t="str">
        <f>AVERAGE(Dhan_Trade_Summary!R:R)</f>
        <v>#DIV/0!</v>
      </c>
    </row>
    <row r="228">
      <c r="A228" s="39"/>
      <c r="K228" s="40">
        <f>COUNTA(Dhan_Trade_Summary!A:A)-1</f>
        <v>0</v>
      </c>
      <c r="L228" s="40">
        <f>COUNTIFS(Dhan_Trade_Summary!R:R,"&gt;0")/COUNTA(Dhan_Trade_Summary!A:A)-1</f>
        <v>-1</v>
      </c>
      <c r="M228" s="40">
        <f>SUM(Dhan_Trade_Summary!R:R)</f>
        <v>0</v>
      </c>
      <c r="N228" s="40" t="str">
        <f>AVERAGE(Dhan_Trade_Summary!R:R)</f>
        <v>#DIV/0!</v>
      </c>
    </row>
    <row r="229">
      <c r="A229" s="39"/>
      <c r="K229" s="40">
        <f>COUNTA(Dhan_Trade_Summary!A:A)-1</f>
        <v>0</v>
      </c>
      <c r="L229" s="40">
        <f>COUNTIFS(Dhan_Trade_Summary!R:R,"&gt;0")/COUNTA(Dhan_Trade_Summary!A:A)-1</f>
        <v>-1</v>
      </c>
      <c r="M229" s="40">
        <f>SUM(Dhan_Trade_Summary!R:R)</f>
        <v>0</v>
      </c>
      <c r="N229" s="40" t="str">
        <f>AVERAGE(Dhan_Trade_Summary!R:R)</f>
        <v>#DIV/0!</v>
      </c>
    </row>
    <row r="230">
      <c r="A230" s="39"/>
      <c r="K230" s="40">
        <f>COUNTA(Dhan_Trade_Summary!A:A)-1</f>
        <v>0</v>
      </c>
      <c r="L230" s="40">
        <f>COUNTIFS(Dhan_Trade_Summary!R:R,"&gt;0")/COUNTA(Dhan_Trade_Summary!A:A)-1</f>
        <v>-1</v>
      </c>
      <c r="M230" s="40">
        <f>SUM(Dhan_Trade_Summary!R:R)</f>
        <v>0</v>
      </c>
      <c r="N230" s="40" t="str">
        <f>AVERAGE(Dhan_Trade_Summary!R:R)</f>
        <v>#DIV/0!</v>
      </c>
    </row>
    <row r="231">
      <c r="A231" s="39"/>
      <c r="K231" s="40">
        <f>COUNTA(Dhan_Trade_Summary!A:A)-1</f>
        <v>0</v>
      </c>
      <c r="L231" s="40">
        <f>COUNTIFS(Dhan_Trade_Summary!R:R,"&gt;0")/COUNTA(Dhan_Trade_Summary!A:A)-1</f>
        <v>-1</v>
      </c>
      <c r="M231" s="40">
        <f>SUM(Dhan_Trade_Summary!R:R)</f>
        <v>0</v>
      </c>
      <c r="N231" s="40" t="str">
        <f>AVERAGE(Dhan_Trade_Summary!R:R)</f>
        <v>#DIV/0!</v>
      </c>
    </row>
    <row r="232">
      <c r="A232" s="39"/>
      <c r="K232" s="40">
        <f>COUNTA(Dhan_Trade_Summary!A:A)-1</f>
        <v>0</v>
      </c>
      <c r="L232" s="40">
        <f>COUNTIFS(Dhan_Trade_Summary!R:R,"&gt;0")/COUNTA(Dhan_Trade_Summary!A:A)-1</f>
        <v>-1</v>
      </c>
      <c r="M232" s="40">
        <f>SUM(Dhan_Trade_Summary!R:R)</f>
        <v>0</v>
      </c>
      <c r="N232" s="40" t="str">
        <f>AVERAGE(Dhan_Trade_Summary!R:R)</f>
        <v>#DIV/0!</v>
      </c>
    </row>
    <row r="233">
      <c r="A233" s="39"/>
      <c r="K233" s="40">
        <f>COUNTA(Dhan_Trade_Summary!A:A)-1</f>
        <v>0</v>
      </c>
      <c r="L233" s="40">
        <f>COUNTIFS(Dhan_Trade_Summary!R:R,"&gt;0")/COUNTA(Dhan_Trade_Summary!A:A)-1</f>
        <v>-1</v>
      </c>
      <c r="M233" s="40">
        <f>SUM(Dhan_Trade_Summary!R:R)</f>
        <v>0</v>
      </c>
      <c r="N233" s="40" t="str">
        <f>AVERAGE(Dhan_Trade_Summary!R:R)</f>
        <v>#DIV/0!</v>
      </c>
    </row>
    <row r="234">
      <c r="A234" s="39"/>
      <c r="K234" s="40">
        <f>COUNTA(Dhan_Trade_Summary!A:A)-1</f>
        <v>0</v>
      </c>
      <c r="L234" s="40">
        <f>COUNTIFS(Dhan_Trade_Summary!R:R,"&gt;0")/COUNTA(Dhan_Trade_Summary!A:A)-1</f>
        <v>-1</v>
      </c>
      <c r="M234" s="40">
        <f>SUM(Dhan_Trade_Summary!R:R)</f>
        <v>0</v>
      </c>
      <c r="N234" s="40" t="str">
        <f>AVERAGE(Dhan_Trade_Summary!R:R)</f>
        <v>#DIV/0!</v>
      </c>
    </row>
    <row r="235">
      <c r="A235" s="39"/>
      <c r="K235" s="40">
        <f>COUNTA(Dhan_Trade_Summary!A:A)-1</f>
        <v>0</v>
      </c>
      <c r="L235" s="40">
        <f>COUNTIFS(Dhan_Trade_Summary!R:R,"&gt;0")/COUNTA(Dhan_Trade_Summary!A:A)-1</f>
        <v>-1</v>
      </c>
      <c r="M235" s="40">
        <f>SUM(Dhan_Trade_Summary!R:R)</f>
        <v>0</v>
      </c>
      <c r="N235" s="40" t="str">
        <f>AVERAGE(Dhan_Trade_Summary!R:R)</f>
        <v>#DIV/0!</v>
      </c>
    </row>
    <row r="236">
      <c r="A236" s="39"/>
      <c r="K236" s="40">
        <f>COUNTA(Dhan_Trade_Summary!A:A)-1</f>
        <v>0</v>
      </c>
      <c r="L236" s="40">
        <f>COUNTIFS(Dhan_Trade_Summary!R:R,"&gt;0")/COUNTA(Dhan_Trade_Summary!A:A)-1</f>
        <v>-1</v>
      </c>
      <c r="M236" s="40">
        <f>SUM(Dhan_Trade_Summary!R:R)</f>
        <v>0</v>
      </c>
      <c r="N236" s="40" t="str">
        <f>AVERAGE(Dhan_Trade_Summary!R:R)</f>
        <v>#DIV/0!</v>
      </c>
    </row>
    <row r="237">
      <c r="A237" s="39"/>
      <c r="K237" s="40">
        <f>COUNTA(Dhan_Trade_Summary!A:A)-1</f>
        <v>0</v>
      </c>
      <c r="L237" s="40">
        <f>COUNTIFS(Dhan_Trade_Summary!R:R,"&gt;0")/COUNTA(Dhan_Trade_Summary!A:A)-1</f>
        <v>-1</v>
      </c>
      <c r="M237" s="40">
        <f>SUM(Dhan_Trade_Summary!R:R)</f>
        <v>0</v>
      </c>
      <c r="N237" s="40" t="str">
        <f>AVERAGE(Dhan_Trade_Summary!R:R)</f>
        <v>#DIV/0!</v>
      </c>
    </row>
    <row r="238">
      <c r="A238" s="39"/>
      <c r="K238" s="40">
        <f>COUNTA(Dhan_Trade_Summary!A:A)-1</f>
        <v>0</v>
      </c>
      <c r="L238" s="40">
        <f>COUNTIFS(Dhan_Trade_Summary!R:R,"&gt;0")/COUNTA(Dhan_Trade_Summary!A:A)-1</f>
        <v>-1</v>
      </c>
      <c r="M238" s="40">
        <f>SUM(Dhan_Trade_Summary!R:R)</f>
        <v>0</v>
      </c>
      <c r="N238" s="40" t="str">
        <f>AVERAGE(Dhan_Trade_Summary!R:R)</f>
        <v>#DIV/0!</v>
      </c>
    </row>
    <row r="239">
      <c r="A239" s="39"/>
      <c r="K239" s="40">
        <f>COUNTA(Dhan_Trade_Summary!A:A)-1</f>
        <v>0</v>
      </c>
      <c r="L239" s="40">
        <f>COUNTIFS(Dhan_Trade_Summary!R:R,"&gt;0")/COUNTA(Dhan_Trade_Summary!A:A)-1</f>
        <v>-1</v>
      </c>
      <c r="M239" s="40">
        <f>SUM(Dhan_Trade_Summary!R:R)</f>
        <v>0</v>
      </c>
      <c r="N239" s="40" t="str">
        <f>AVERAGE(Dhan_Trade_Summary!R:R)</f>
        <v>#DIV/0!</v>
      </c>
    </row>
    <row r="240">
      <c r="A240" s="39"/>
      <c r="K240" s="40">
        <f>COUNTA(Dhan_Trade_Summary!A:A)-1</f>
        <v>0</v>
      </c>
      <c r="L240" s="40">
        <f>COUNTIFS(Dhan_Trade_Summary!R:R,"&gt;0")/COUNTA(Dhan_Trade_Summary!A:A)-1</f>
        <v>-1</v>
      </c>
      <c r="M240" s="40">
        <f>SUM(Dhan_Trade_Summary!R:R)</f>
        <v>0</v>
      </c>
      <c r="N240" s="40" t="str">
        <f>AVERAGE(Dhan_Trade_Summary!R:R)</f>
        <v>#DIV/0!</v>
      </c>
    </row>
    <row r="241">
      <c r="A241" s="39"/>
      <c r="K241" s="40">
        <f>COUNTA(Dhan_Trade_Summary!A:A)-1</f>
        <v>0</v>
      </c>
      <c r="L241" s="40">
        <f>COUNTIFS(Dhan_Trade_Summary!R:R,"&gt;0")/COUNTA(Dhan_Trade_Summary!A:A)-1</f>
        <v>-1</v>
      </c>
      <c r="M241" s="40">
        <f>SUM(Dhan_Trade_Summary!R:R)</f>
        <v>0</v>
      </c>
      <c r="N241" s="40" t="str">
        <f>AVERAGE(Dhan_Trade_Summary!R:R)</f>
        <v>#DIV/0!</v>
      </c>
    </row>
    <row r="242">
      <c r="A242" s="39"/>
      <c r="K242" s="40">
        <f>COUNTA(Dhan_Trade_Summary!A:A)-1</f>
        <v>0</v>
      </c>
      <c r="L242" s="40">
        <f>COUNTIFS(Dhan_Trade_Summary!R:R,"&gt;0")/COUNTA(Dhan_Trade_Summary!A:A)-1</f>
        <v>-1</v>
      </c>
      <c r="M242" s="40">
        <f>SUM(Dhan_Trade_Summary!R:R)</f>
        <v>0</v>
      </c>
      <c r="N242" s="40" t="str">
        <f>AVERAGE(Dhan_Trade_Summary!R:R)</f>
        <v>#DIV/0!</v>
      </c>
    </row>
    <row r="243">
      <c r="A243" s="39"/>
      <c r="K243" s="40">
        <f>COUNTA(Dhan_Trade_Summary!A:A)-1</f>
        <v>0</v>
      </c>
      <c r="L243" s="40">
        <f>COUNTIFS(Dhan_Trade_Summary!R:R,"&gt;0")/COUNTA(Dhan_Trade_Summary!A:A)-1</f>
        <v>-1</v>
      </c>
      <c r="M243" s="40">
        <f>SUM(Dhan_Trade_Summary!R:R)</f>
        <v>0</v>
      </c>
      <c r="N243" s="40" t="str">
        <f>AVERAGE(Dhan_Trade_Summary!R:R)</f>
        <v>#DIV/0!</v>
      </c>
    </row>
    <row r="244">
      <c r="A244" s="39"/>
      <c r="K244" s="40">
        <f>COUNTA(Dhan_Trade_Summary!A:A)-1</f>
        <v>0</v>
      </c>
      <c r="L244" s="40">
        <f>COUNTIFS(Dhan_Trade_Summary!R:R,"&gt;0")/COUNTA(Dhan_Trade_Summary!A:A)-1</f>
        <v>-1</v>
      </c>
      <c r="M244" s="40">
        <f>SUM(Dhan_Trade_Summary!R:R)</f>
        <v>0</v>
      </c>
      <c r="N244" s="40" t="str">
        <f>AVERAGE(Dhan_Trade_Summary!R:R)</f>
        <v>#DIV/0!</v>
      </c>
    </row>
    <row r="245">
      <c r="A245" s="39"/>
      <c r="K245" s="40">
        <f>COUNTA(Dhan_Trade_Summary!A:A)-1</f>
        <v>0</v>
      </c>
      <c r="L245" s="40">
        <f>COUNTIFS(Dhan_Trade_Summary!R:R,"&gt;0")/COUNTA(Dhan_Trade_Summary!A:A)-1</f>
        <v>-1</v>
      </c>
      <c r="M245" s="40">
        <f>SUM(Dhan_Trade_Summary!R:R)</f>
        <v>0</v>
      </c>
      <c r="N245" s="40" t="str">
        <f>AVERAGE(Dhan_Trade_Summary!R:R)</f>
        <v>#DIV/0!</v>
      </c>
    </row>
    <row r="246">
      <c r="A246" s="39"/>
      <c r="K246" s="40">
        <f>COUNTA(Dhan_Trade_Summary!A:A)-1</f>
        <v>0</v>
      </c>
      <c r="L246" s="40">
        <f>COUNTIFS(Dhan_Trade_Summary!R:R,"&gt;0")/COUNTA(Dhan_Trade_Summary!A:A)-1</f>
        <v>-1</v>
      </c>
      <c r="M246" s="40">
        <f>SUM(Dhan_Trade_Summary!R:R)</f>
        <v>0</v>
      </c>
      <c r="N246" s="40" t="str">
        <f>AVERAGE(Dhan_Trade_Summary!R:R)</f>
        <v>#DIV/0!</v>
      </c>
    </row>
    <row r="247">
      <c r="A247" s="39"/>
      <c r="K247" s="40">
        <f>COUNTA(Dhan_Trade_Summary!A:A)-1</f>
        <v>0</v>
      </c>
      <c r="L247" s="40">
        <f>COUNTIFS(Dhan_Trade_Summary!R:R,"&gt;0")/COUNTA(Dhan_Trade_Summary!A:A)-1</f>
        <v>-1</v>
      </c>
      <c r="M247" s="40">
        <f>SUM(Dhan_Trade_Summary!R:R)</f>
        <v>0</v>
      </c>
      <c r="N247" s="40" t="str">
        <f>AVERAGE(Dhan_Trade_Summary!R:R)</f>
        <v>#DIV/0!</v>
      </c>
    </row>
    <row r="248">
      <c r="A248" s="39"/>
      <c r="K248" s="40">
        <f>COUNTA(Dhan_Trade_Summary!A:A)-1</f>
        <v>0</v>
      </c>
      <c r="L248" s="40">
        <f>COUNTIFS(Dhan_Trade_Summary!R:R,"&gt;0")/COUNTA(Dhan_Trade_Summary!A:A)-1</f>
        <v>-1</v>
      </c>
      <c r="M248" s="40">
        <f>SUM(Dhan_Trade_Summary!R:R)</f>
        <v>0</v>
      </c>
      <c r="N248" s="40" t="str">
        <f>AVERAGE(Dhan_Trade_Summary!R:R)</f>
        <v>#DIV/0!</v>
      </c>
    </row>
    <row r="249">
      <c r="A249" s="39"/>
      <c r="K249" s="40">
        <f>COUNTA(Dhan_Trade_Summary!A:A)-1</f>
        <v>0</v>
      </c>
      <c r="L249" s="40">
        <f>COUNTIFS(Dhan_Trade_Summary!R:R,"&gt;0")/COUNTA(Dhan_Trade_Summary!A:A)-1</f>
        <v>-1</v>
      </c>
      <c r="M249" s="40">
        <f>SUM(Dhan_Trade_Summary!R:R)</f>
        <v>0</v>
      </c>
      <c r="N249" s="40" t="str">
        <f>AVERAGE(Dhan_Trade_Summary!R:R)</f>
        <v>#DIV/0!</v>
      </c>
    </row>
    <row r="250">
      <c r="A250" s="39"/>
      <c r="K250" s="40">
        <f>COUNTA(Dhan_Trade_Summary!A:A)-1</f>
        <v>0</v>
      </c>
      <c r="L250" s="40">
        <f>COUNTIFS(Dhan_Trade_Summary!R:R,"&gt;0")/COUNTA(Dhan_Trade_Summary!A:A)-1</f>
        <v>-1</v>
      </c>
      <c r="M250" s="40">
        <f>SUM(Dhan_Trade_Summary!R:R)</f>
        <v>0</v>
      </c>
      <c r="N250" s="40" t="str">
        <f>AVERAGE(Dhan_Trade_Summary!R:R)</f>
        <v>#DIV/0!</v>
      </c>
    </row>
    <row r="251">
      <c r="A251" s="39"/>
      <c r="K251" s="40">
        <f>COUNTA(Dhan_Trade_Summary!A:A)-1</f>
        <v>0</v>
      </c>
      <c r="L251" s="40">
        <f>COUNTIFS(Dhan_Trade_Summary!R:R,"&gt;0")/COUNTA(Dhan_Trade_Summary!A:A)-1</f>
        <v>-1</v>
      </c>
      <c r="M251" s="40">
        <f>SUM(Dhan_Trade_Summary!R:R)</f>
        <v>0</v>
      </c>
      <c r="N251" s="40" t="str">
        <f>AVERAGE(Dhan_Trade_Summary!R:R)</f>
        <v>#DIV/0!</v>
      </c>
    </row>
    <row r="252">
      <c r="A252" s="39"/>
      <c r="K252" s="40">
        <f>COUNTA(Dhan_Trade_Summary!A:A)-1</f>
        <v>0</v>
      </c>
      <c r="L252" s="40">
        <f>COUNTIFS(Dhan_Trade_Summary!R:R,"&gt;0")/COUNTA(Dhan_Trade_Summary!A:A)-1</f>
        <v>-1</v>
      </c>
      <c r="M252" s="40">
        <f>SUM(Dhan_Trade_Summary!R:R)</f>
        <v>0</v>
      </c>
      <c r="N252" s="40" t="str">
        <f>AVERAGE(Dhan_Trade_Summary!R:R)</f>
        <v>#DIV/0!</v>
      </c>
    </row>
    <row r="253">
      <c r="A253" s="39"/>
      <c r="K253" s="40">
        <f>COUNTA(Dhan_Trade_Summary!A:A)-1</f>
        <v>0</v>
      </c>
      <c r="L253" s="40">
        <f>COUNTIFS(Dhan_Trade_Summary!R:R,"&gt;0")/COUNTA(Dhan_Trade_Summary!A:A)-1</f>
        <v>-1</v>
      </c>
      <c r="M253" s="40">
        <f>SUM(Dhan_Trade_Summary!R:R)</f>
        <v>0</v>
      </c>
      <c r="N253" s="40" t="str">
        <f>AVERAGE(Dhan_Trade_Summary!R:R)</f>
        <v>#DIV/0!</v>
      </c>
    </row>
    <row r="254">
      <c r="A254" s="39"/>
      <c r="K254" s="40">
        <f>COUNTA(Dhan_Trade_Summary!A:A)-1</f>
        <v>0</v>
      </c>
      <c r="L254" s="40">
        <f>COUNTIFS(Dhan_Trade_Summary!R:R,"&gt;0")/COUNTA(Dhan_Trade_Summary!A:A)-1</f>
        <v>-1</v>
      </c>
      <c r="M254" s="40">
        <f>SUM(Dhan_Trade_Summary!R:R)</f>
        <v>0</v>
      </c>
      <c r="N254" s="40" t="str">
        <f>AVERAGE(Dhan_Trade_Summary!R:R)</f>
        <v>#DIV/0!</v>
      </c>
    </row>
    <row r="255">
      <c r="A255" s="39"/>
      <c r="K255" s="40">
        <f>COUNTA(Dhan_Trade_Summary!A:A)-1</f>
        <v>0</v>
      </c>
      <c r="L255" s="40">
        <f>COUNTIFS(Dhan_Trade_Summary!R:R,"&gt;0")/COUNTA(Dhan_Trade_Summary!A:A)-1</f>
        <v>-1</v>
      </c>
      <c r="M255" s="40">
        <f>SUM(Dhan_Trade_Summary!R:R)</f>
        <v>0</v>
      </c>
      <c r="N255" s="40" t="str">
        <f>AVERAGE(Dhan_Trade_Summary!R:R)</f>
        <v>#DIV/0!</v>
      </c>
    </row>
    <row r="256">
      <c r="A256" s="39"/>
      <c r="K256" s="40">
        <f>COUNTA(Dhan_Trade_Summary!A:A)-1</f>
        <v>0</v>
      </c>
      <c r="L256" s="40">
        <f>COUNTIFS(Dhan_Trade_Summary!R:R,"&gt;0")/COUNTA(Dhan_Trade_Summary!A:A)-1</f>
        <v>-1</v>
      </c>
      <c r="M256" s="40">
        <f>SUM(Dhan_Trade_Summary!R:R)</f>
        <v>0</v>
      </c>
      <c r="N256" s="40" t="str">
        <f>AVERAGE(Dhan_Trade_Summary!R:R)</f>
        <v>#DIV/0!</v>
      </c>
    </row>
    <row r="257">
      <c r="A257" s="39"/>
      <c r="K257" s="40">
        <f>COUNTA(Dhan_Trade_Summary!A:A)-1</f>
        <v>0</v>
      </c>
      <c r="L257" s="40">
        <f>COUNTIFS(Dhan_Trade_Summary!R:R,"&gt;0")/COUNTA(Dhan_Trade_Summary!A:A)-1</f>
        <v>-1</v>
      </c>
      <c r="M257" s="40">
        <f>SUM(Dhan_Trade_Summary!R:R)</f>
        <v>0</v>
      </c>
      <c r="N257" s="40" t="str">
        <f>AVERAGE(Dhan_Trade_Summary!R:R)</f>
        <v>#DIV/0!</v>
      </c>
    </row>
    <row r="258">
      <c r="A258" s="39"/>
      <c r="K258" s="40">
        <f>COUNTA(Dhan_Trade_Summary!A:A)-1</f>
        <v>0</v>
      </c>
      <c r="L258" s="40">
        <f>COUNTIFS(Dhan_Trade_Summary!R:R,"&gt;0")/COUNTA(Dhan_Trade_Summary!A:A)-1</f>
        <v>-1</v>
      </c>
      <c r="M258" s="40">
        <f>SUM(Dhan_Trade_Summary!R:R)</f>
        <v>0</v>
      </c>
      <c r="N258" s="40" t="str">
        <f>AVERAGE(Dhan_Trade_Summary!R:R)</f>
        <v>#DIV/0!</v>
      </c>
    </row>
    <row r="259">
      <c r="A259" s="39"/>
      <c r="K259" s="40">
        <f>COUNTA(Dhan_Trade_Summary!A:A)-1</f>
        <v>0</v>
      </c>
      <c r="L259" s="40">
        <f>COUNTIFS(Dhan_Trade_Summary!R:R,"&gt;0")/COUNTA(Dhan_Trade_Summary!A:A)-1</f>
        <v>-1</v>
      </c>
      <c r="M259" s="40">
        <f>SUM(Dhan_Trade_Summary!R:R)</f>
        <v>0</v>
      </c>
      <c r="N259" s="40" t="str">
        <f>AVERAGE(Dhan_Trade_Summary!R:R)</f>
        <v>#DIV/0!</v>
      </c>
    </row>
    <row r="260">
      <c r="A260" s="39"/>
      <c r="K260" s="40">
        <f>COUNTA(Dhan_Trade_Summary!A:A)-1</f>
        <v>0</v>
      </c>
      <c r="L260" s="40">
        <f>COUNTIFS(Dhan_Trade_Summary!R:R,"&gt;0")/COUNTA(Dhan_Trade_Summary!A:A)-1</f>
        <v>-1</v>
      </c>
      <c r="M260" s="40">
        <f>SUM(Dhan_Trade_Summary!R:R)</f>
        <v>0</v>
      </c>
      <c r="N260" s="40" t="str">
        <f>AVERAGE(Dhan_Trade_Summary!R:R)</f>
        <v>#DIV/0!</v>
      </c>
    </row>
    <row r="261">
      <c r="A261" s="39"/>
      <c r="K261" s="40">
        <f>COUNTA(Dhan_Trade_Summary!A:A)-1</f>
        <v>0</v>
      </c>
      <c r="L261" s="40">
        <f>COUNTIFS(Dhan_Trade_Summary!R:R,"&gt;0")/COUNTA(Dhan_Trade_Summary!A:A)-1</f>
        <v>-1</v>
      </c>
      <c r="M261" s="40">
        <f>SUM(Dhan_Trade_Summary!R:R)</f>
        <v>0</v>
      </c>
      <c r="N261" s="40" t="str">
        <f>AVERAGE(Dhan_Trade_Summary!R:R)</f>
        <v>#DIV/0!</v>
      </c>
    </row>
    <row r="262">
      <c r="A262" s="39"/>
      <c r="K262" s="40">
        <f>COUNTA(Dhan_Trade_Summary!A:A)-1</f>
        <v>0</v>
      </c>
      <c r="L262" s="40">
        <f>COUNTIFS(Dhan_Trade_Summary!R:R,"&gt;0")/COUNTA(Dhan_Trade_Summary!A:A)-1</f>
        <v>-1</v>
      </c>
      <c r="M262" s="40">
        <f>SUM(Dhan_Trade_Summary!R:R)</f>
        <v>0</v>
      </c>
      <c r="N262" s="40" t="str">
        <f>AVERAGE(Dhan_Trade_Summary!R:R)</f>
        <v>#DIV/0!</v>
      </c>
    </row>
    <row r="263">
      <c r="A263" s="39"/>
      <c r="K263" s="40">
        <f>COUNTA(Dhan_Trade_Summary!A:A)-1</f>
        <v>0</v>
      </c>
      <c r="L263" s="40">
        <f>COUNTIFS(Dhan_Trade_Summary!R:R,"&gt;0")/COUNTA(Dhan_Trade_Summary!A:A)-1</f>
        <v>-1</v>
      </c>
      <c r="M263" s="40">
        <f>SUM(Dhan_Trade_Summary!R:R)</f>
        <v>0</v>
      </c>
      <c r="N263" s="40" t="str">
        <f>AVERAGE(Dhan_Trade_Summary!R:R)</f>
        <v>#DIV/0!</v>
      </c>
    </row>
    <row r="264">
      <c r="A264" s="39"/>
      <c r="K264" s="40">
        <f>COUNTA(Dhan_Trade_Summary!A:A)-1</f>
        <v>0</v>
      </c>
      <c r="L264" s="40">
        <f>COUNTIFS(Dhan_Trade_Summary!R:R,"&gt;0")/COUNTA(Dhan_Trade_Summary!A:A)-1</f>
        <v>-1</v>
      </c>
      <c r="M264" s="40">
        <f>SUM(Dhan_Trade_Summary!R:R)</f>
        <v>0</v>
      </c>
      <c r="N264" s="40" t="str">
        <f>AVERAGE(Dhan_Trade_Summary!R:R)</f>
        <v>#DIV/0!</v>
      </c>
    </row>
    <row r="265">
      <c r="A265" s="39"/>
      <c r="K265" s="40">
        <f>COUNTA(Dhan_Trade_Summary!A:A)-1</f>
        <v>0</v>
      </c>
      <c r="L265" s="40">
        <f>COUNTIFS(Dhan_Trade_Summary!R:R,"&gt;0")/COUNTA(Dhan_Trade_Summary!A:A)-1</f>
        <v>-1</v>
      </c>
      <c r="M265" s="40">
        <f>SUM(Dhan_Trade_Summary!R:R)</f>
        <v>0</v>
      </c>
      <c r="N265" s="40" t="str">
        <f>AVERAGE(Dhan_Trade_Summary!R:R)</f>
        <v>#DIV/0!</v>
      </c>
    </row>
    <row r="266">
      <c r="A266" s="39"/>
      <c r="K266" s="40">
        <f>COUNTA(Dhan_Trade_Summary!A:A)-1</f>
        <v>0</v>
      </c>
      <c r="L266" s="40">
        <f>COUNTIFS(Dhan_Trade_Summary!R:R,"&gt;0")/COUNTA(Dhan_Trade_Summary!A:A)-1</f>
        <v>-1</v>
      </c>
      <c r="M266" s="40">
        <f>SUM(Dhan_Trade_Summary!R:R)</f>
        <v>0</v>
      </c>
      <c r="N266" s="40" t="str">
        <f>AVERAGE(Dhan_Trade_Summary!R:R)</f>
        <v>#DIV/0!</v>
      </c>
    </row>
    <row r="267">
      <c r="A267" s="39"/>
      <c r="K267" s="40">
        <f>COUNTA(Dhan_Trade_Summary!A:A)-1</f>
        <v>0</v>
      </c>
      <c r="L267" s="40">
        <f>COUNTIFS(Dhan_Trade_Summary!R:R,"&gt;0")/COUNTA(Dhan_Trade_Summary!A:A)-1</f>
        <v>-1</v>
      </c>
      <c r="M267" s="40">
        <f>SUM(Dhan_Trade_Summary!R:R)</f>
        <v>0</v>
      </c>
      <c r="N267" s="40" t="str">
        <f>AVERAGE(Dhan_Trade_Summary!R:R)</f>
        <v>#DIV/0!</v>
      </c>
    </row>
    <row r="268">
      <c r="A268" s="39"/>
      <c r="K268" s="40">
        <f>COUNTA(Dhan_Trade_Summary!A:A)-1</f>
        <v>0</v>
      </c>
      <c r="L268" s="40">
        <f>COUNTIFS(Dhan_Trade_Summary!R:R,"&gt;0")/COUNTA(Dhan_Trade_Summary!A:A)-1</f>
        <v>-1</v>
      </c>
      <c r="M268" s="40">
        <f>SUM(Dhan_Trade_Summary!R:R)</f>
        <v>0</v>
      </c>
      <c r="N268" s="40" t="str">
        <f>AVERAGE(Dhan_Trade_Summary!R:R)</f>
        <v>#DIV/0!</v>
      </c>
    </row>
    <row r="269">
      <c r="A269" s="39"/>
      <c r="K269" s="40">
        <f>COUNTA(Dhan_Trade_Summary!A:A)-1</f>
        <v>0</v>
      </c>
      <c r="L269" s="40">
        <f>COUNTIFS(Dhan_Trade_Summary!R:R,"&gt;0")/COUNTA(Dhan_Trade_Summary!A:A)-1</f>
        <v>-1</v>
      </c>
      <c r="M269" s="40">
        <f>SUM(Dhan_Trade_Summary!R:R)</f>
        <v>0</v>
      </c>
      <c r="N269" s="40" t="str">
        <f>AVERAGE(Dhan_Trade_Summary!R:R)</f>
        <v>#DIV/0!</v>
      </c>
    </row>
    <row r="270">
      <c r="A270" s="39"/>
      <c r="K270" s="40">
        <f>COUNTA(Dhan_Trade_Summary!A:A)-1</f>
        <v>0</v>
      </c>
      <c r="L270" s="40">
        <f>COUNTIFS(Dhan_Trade_Summary!R:R,"&gt;0")/COUNTA(Dhan_Trade_Summary!A:A)-1</f>
        <v>-1</v>
      </c>
      <c r="M270" s="40">
        <f>SUM(Dhan_Trade_Summary!R:R)</f>
        <v>0</v>
      </c>
      <c r="N270" s="40" t="str">
        <f>AVERAGE(Dhan_Trade_Summary!R:R)</f>
        <v>#DIV/0!</v>
      </c>
    </row>
    <row r="271">
      <c r="A271" s="39"/>
      <c r="K271" s="40">
        <f>COUNTA(Dhan_Trade_Summary!A:A)-1</f>
        <v>0</v>
      </c>
      <c r="L271" s="40">
        <f>COUNTIFS(Dhan_Trade_Summary!R:R,"&gt;0")/COUNTA(Dhan_Trade_Summary!A:A)-1</f>
        <v>-1</v>
      </c>
      <c r="M271" s="40">
        <f>SUM(Dhan_Trade_Summary!R:R)</f>
        <v>0</v>
      </c>
      <c r="N271" s="40" t="str">
        <f>AVERAGE(Dhan_Trade_Summary!R:R)</f>
        <v>#DIV/0!</v>
      </c>
    </row>
    <row r="272">
      <c r="A272" s="39"/>
      <c r="K272" s="40">
        <f>COUNTA(Dhan_Trade_Summary!A:A)-1</f>
        <v>0</v>
      </c>
      <c r="L272" s="40">
        <f>COUNTIFS(Dhan_Trade_Summary!R:R,"&gt;0")/COUNTA(Dhan_Trade_Summary!A:A)-1</f>
        <v>-1</v>
      </c>
      <c r="M272" s="40">
        <f>SUM(Dhan_Trade_Summary!R:R)</f>
        <v>0</v>
      </c>
      <c r="N272" s="40" t="str">
        <f>AVERAGE(Dhan_Trade_Summary!R:R)</f>
        <v>#DIV/0!</v>
      </c>
    </row>
    <row r="273">
      <c r="A273" s="39"/>
      <c r="K273" s="40">
        <f>COUNTA(Dhan_Trade_Summary!A:A)-1</f>
        <v>0</v>
      </c>
      <c r="L273" s="40">
        <f>COUNTIFS(Dhan_Trade_Summary!R:R,"&gt;0")/COUNTA(Dhan_Trade_Summary!A:A)-1</f>
        <v>-1</v>
      </c>
      <c r="M273" s="40">
        <f>SUM(Dhan_Trade_Summary!R:R)</f>
        <v>0</v>
      </c>
      <c r="N273" s="40" t="str">
        <f>AVERAGE(Dhan_Trade_Summary!R:R)</f>
        <v>#DIV/0!</v>
      </c>
    </row>
    <row r="274">
      <c r="A274" s="39"/>
      <c r="K274" s="40">
        <f>COUNTA(Dhan_Trade_Summary!A:A)-1</f>
        <v>0</v>
      </c>
      <c r="L274" s="40">
        <f>COUNTIFS(Dhan_Trade_Summary!R:R,"&gt;0")/COUNTA(Dhan_Trade_Summary!A:A)-1</f>
        <v>-1</v>
      </c>
      <c r="M274" s="40">
        <f>SUM(Dhan_Trade_Summary!R:R)</f>
        <v>0</v>
      </c>
      <c r="N274" s="40" t="str">
        <f>AVERAGE(Dhan_Trade_Summary!R:R)</f>
        <v>#DIV/0!</v>
      </c>
    </row>
    <row r="275">
      <c r="A275" s="39"/>
      <c r="K275" s="40">
        <f>COUNTA(Dhan_Trade_Summary!A:A)-1</f>
        <v>0</v>
      </c>
      <c r="L275" s="40">
        <f>COUNTIFS(Dhan_Trade_Summary!R:R,"&gt;0")/COUNTA(Dhan_Trade_Summary!A:A)-1</f>
        <v>-1</v>
      </c>
      <c r="M275" s="40">
        <f>SUM(Dhan_Trade_Summary!R:R)</f>
        <v>0</v>
      </c>
      <c r="N275" s="40" t="str">
        <f>AVERAGE(Dhan_Trade_Summary!R:R)</f>
        <v>#DIV/0!</v>
      </c>
    </row>
    <row r="276">
      <c r="A276" s="39"/>
      <c r="K276" s="40">
        <f>COUNTA(Dhan_Trade_Summary!A:A)-1</f>
        <v>0</v>
      </c>
      <c r="L276" s="40">
        <f>COUNTIFS(Dhan_Trade_Summary!R:R,"&gt;0")/COUNTA(Dhan_Trade_Summary!A:A)-1</f>
        <v>-1</v>
      </c>
      <c r="M276" s="40">
        <f>SUM(Dhan_Trade_Summary!R:R)</f>
        <v>0</v>
      </c>
      <c r="N276" s="40" t="str">
        <f>AVERAGE(Dhan_Trade_Summary!R:R)</f>
        <v>#DIV/0!</v>
      </c>
    </row>
    <row r="277">
      <c r="A277" s="39"/>
      <c r="K277" s="40">
        <f>COUNTA(Dhan_Trade_Summary!A:A)-1</f>
        <v>0</v>
      </c>
      <c r="L277" s="40">
        <f>COUNTIFS(Dhan_Trade_Summary!R:R,"&gt;0")/COUNTA(Dhan_Trade_Summary!A:A)-1</f>
        <v>-1</v>
      </c>
      <c r="M277" s="40">
        <f>SUM(Dhan_Trade_Summary!R:R)</f>
        <v>0</v>
      </c>
      <c r="N277" s="40" t="str">
        <f>AVERAGE(Dhan_Trade_Summary!R:R)</f>
        <v>#DIV/0!</v>
      </c>
    </row>
    <row r="278">
      <c r="A278" s="39"/>
      <c r="K278" s="40">
        <f>COUNTA(Dhan_Trade_Summary!A:A)-1</f>
        <v>0</v>
      </c>
      <c r="L278" s="40">
        <f>COUNTIFS(Dhan_Trade_Summary!R:R,"&gt;0")/COUNTA(Dhan_Trade_Summary!A:A)-1</f>
        <v>-1</v>
      </c>
      <c r="M278" s="40">
        <f>SUM(Dhan_Trade_Summary!R:R)</f>
        <v>0</v>
      </c>
      <c r="N278" s="40" t="str">
        <f>AVERAGE(Dhan_Trade_Summary!R:R)</f>
        <v>#DIV/0!</v>
      </c>
    </row>
    <row r="279">
      <c r="A279" s="39"/>
      <c r="K279" s="40">
        <f>COUNTA(Dhan_Trade_Summary!A:A)-1</f>
        <v>0</v>
      </c>
      <c r="L279" s="40">
        <f>COUNTIFS(Dhan_Trade_Summary!R:R,"&gt;0")/COUNTA(Dhan_Trade_Summary!A:A)-1</f>
        <v>-1</v>
      </c>
      <c r="M279" s="40">
        <f>SUM(Dhan_Trade_Summary!R:R)</f>
        <v>0</v>
      </c>
      <c r="N279" s="40" t="str">
        <f>AVERAGE(Dhan_Trade_Summary!R:R)</f>
        <v>#DIV/0!</v>
      </c>
    </row>
    <row r="280">
      <c r="A280" s="39"/>
      <c r="K280" s="40">
        <f>COUNTA(Dhan_Trade_Summary!A:A)-1</f>
        <v>0</v>
      </c>
      <c r="L280" s="40">
        <f>COUNTIFS(Dhan_Trade_Summary!R:R,"&gt;0")/COUNTA(Dhan_Trade_Summary!A:A)-1</f>
        <v>-1</v>
      </c>
      <c r="M280" s="40">
        <f>SUM(Dhan_Trade_Summary!R:R)</f>
        <v>0</v>
      </c>
      <c r="N280" s="40" t="str">
        <f>AVERAGE(Dhan_Trade_Summary!R:R)</f>
        <v>#DIV/0!</v>
      </c>
    </row>
    <row r="281">
      <c r="A281" s="39"/>
      <c r="K281" s="40">
        <f>COUNTA(Dhan_Trade_Summary!A:A)-1</f>
        <v>0</v>
      </c>
      <c r="L281" s="40">
        <f>COUNTIFS(Dhan_Trade_Summary!R:R,"&gt;0")/COUNTA(Dhan_Trade_Summary!A:A)-1</f>
        <v>-1</v>
      </c>
      <c r="M281" s="40">
        <f>SUM(Dhan_Trade_Summary!R:R)</f>
        <v>0</v>
      </c>
      <c r="N281" s="40" t="str">
        <f>AVERAGE(Dhan_Trade_Summary!R:R)</f>
        <v>#DIV/0!</v>
      </c>
    </row>
    <row r="282">
      <c r="A282" s="39"/>
      <c r="K282" s="40">
        <f>COUNTA(Dhan_Trade_Summary!A:A)-1</f>
        <v>0</v>
      </c>
      <c r="L282" s="40">
        <f>COUNTIFS(Dhan_Trade_Summary!R:R,"&gt;0")/COUNTA(Dhan_Trade_Summary!A:A)-1</f>
        <v>-1</v>
      </c>
      <c r="M282" s="40">
        <f>SUM(Dhan_Trade_Summary!R:R)</f>
        <v>0</v>
      </c>
      <c r="N282" s="40" t="str">
        <f>AVERAGE(Dhan_Trade_Summary!R:R)</f>
        <v>#DIV/0!</v>
      </c>
    </row>
    <row r="283">
      <c r="A283" s="39"/>
      <c r="K283" s="40">
        <f>COUNTA(Dhan_Trade_Summary!A:A)-1</f>
        <v>0</v>
      </c>
      <c r="L283" s="40">
        <f>COUNTIFS(Dhan_Trade_Summary!R:R,"&gt;0")/COUNTA(Dhan_Trade_Summary!A:A)-1</f>
        <v>-1</v>
      </c>
      <c r="M283" s="40">
        <f>SUM(Dhan_Trade_Summary!R:R)</f>
        <v>0</v>
      </c>
      <c r="N283" s="40" t="str">
        <f>AVERAGE(Dhan_Trade_Summary!R:R)</f>
        <v>#DIV/0!</v>
      </c>
    </row>
    <row r="284">
      <c r="A284" s="39"/>
      <c r="K284" s="40">
        <f>COUNTA(Dhan_Trade_Summary!A:A)-1</f>
        <v>0</v>
      </c>
      <c r="L284" s="40">
        <f>COUNTIFS(Dhan_Trade_Summary!R:R,"&gt;0")/COUNTA(Dhan_Trade_Summary!A:A)-1</f>
        <v>-1</v>
      </c>
      <c r="M284" s="40">
        <f>SUM(Dhan_Trade_Summary!R:R)</f>
        <v>0</v>
      </c>
      <c r="N284" s="40" t="str">
        <f>AVERAGE(Dhan_Trade_Summary!R:R)</f>
        <v>#DIV/0!</v>
      </c>
    </row>
    <row r="285">
      <c r="A285" s="39"/>
      <c r="K285" s="40">
        <f>COUNTA(Dhan_Trade_Summary!A:A)-1</f>
        <v>0</v>
      </c>
      <c r="L285" s="40">
        <f>COUNTIFS(Dhan_Trade_Summary!R:R,"&gt;0")/COUNTA(Dhan_Trade_Summary!A:A)-1</f>
        <v>-1</v>
      </c>
      <c r="M285" s="40">
        <f>SUM(Dhan_Trade_Summary!R:R)</f>
        <v>0</v>
      </c>
      <c r="N285" s="40" t="str">
        <f>AVERAGE(Dhan_Trade_Summary!R:R)</f>
        <v>#DIV/0!</v>
      </c>
    </row>
    <row r="286">
      <c r="A286" s="39"/>
      <c r="K286" s="40">
        <f>COUNTA(Dhan_Trade_Summary!A:A)-1</f>
        <v>0</v>
      </c>
      <c r="L286" s="40">
        <f>COUNTIFS(Dhan_Trade_Summary!R:R,"&gt;0")/COUNTA(Dhan_Trade_Summary!A:A)-1</f>
        <v>-1</v>
      </c>
      <c r="M286" s="40">
        <f>SUM(Dhan_Trade_Summary!R:R)</f>
        <v>0</v>
      </c>
      <c r="N286" s="40" t="str">
        <f>AVERAGE(Dhan_Trade_Summary!R:R)</f>
        <v>#DIV/0!</v>
      </c>
    </row>
    <row r="287">
      <c r="A287" s="39"/>
      <c r="K287" s="40">
        <f>COUNTA(Dhan_Trade_Summary!A:A)-1</f>
        <v>0</v>
      </c>
      <c r="L287" s="40">
        <f>COUNTIFS(Dhan_Trade_Summary!R:R,"&gt;0")/COUNTA(Dhan_Trade_Summary!A:A)-1</f>
        <v>-1</v>
      </c>
      <c r="M287" s="40">
        <f>SUM(Dhan_Trade_Summary!R:R)</f>
        <v>0</v>
      </c>
      <c r="N287" s="40" t="str">
        <f>AVERAGE(Dhan_Trade_Summary!R:R)</f>
        <v>#DIV/0!</v>
      </c>
    </row>
    <row r="288">
      <c r="A288" s="39"/>
      <c r="K288" s="40">
        <f>COUNTA(Dhan_Trade_Summary!A:A)-1</f>
        <v>0</v>
      </c>
      <c r="L288" s="40">
        <f>COUNTIFS(Dhan_Trade_Summary!R:R,"&gt;0")/COUNTA(Dhan_Trade_Summary!A:A)-1</f>
        <v>-1</v>
      </c>
      <c r="M288" s="40">
        <f>SUM(Dhan_Trade_Summary!R:R)</f>
        <v>0</v>
      </c>
      <c r="N288" s="40" t="str">
        <f>AVERAGE(Dhan_Trade_Summary!R:R)</f>
        <v>#DIV/0!</v>
      </c>
    </row>
    <row r="289">
      <c r="A289" s="39"/>
      <c r="K289" s="40">
        <f>COUNTA(Dhan_Trade_Summary!A:A)-1</f>
        <v>0</v>
      </c>
      <c r="L289" s="40">
        <f>COUNTIFS(Dhan_Trade_Summary!R:R,"&gt;0")/COUNTA(Dhan_Trade_Summary!A:A)-1</f>
        <v>-1</v>
      </c>
      <c r="M289" s="40">
        <f>SUM(Dhan_Trade_Summary!R:R)</f>
        <v>0</v>
      </c>
      <c r="N289" s="40" t="str">
        <f>AVERAGE(Dhan_Trade_Summary!R:R)</f>
        <v>#DIV/0!</v>
      </c>
    </row>
    <row r="290">
      <c r="A290" s="39"/>
      <c r="K290" s="40">
        <f>COUNTA(Dhan_Trade_Summary!A:A)-1</f>
        <v>0</v>
      </c>
      <c r="L290" s="40">
        <f>COUNTIFS(Dhan_Trade_Summary!R:R,"&gt;0")/COUNTA(Dhan_Trade_Summary!A:A)-1</f>
        <v>-1</v>
      </c>
      <c r="M290" s="40">
        <f>SUM(Dhan_Trade_Summary!R:R)</f>
        <v>0</v>
      </c>
      <c r="N290" s="40" t="str">
        <f>AVERAGE(Dhan_Trade_Summary!R:R)</f>
        <v>#DIV/0!</v>
      </c>
    </row>
    <row r="291">
      <c r="A291" s="39"/>
      <c r="K291" s="40">
        <f>COUNTA(Dhan_Trade_Summary!A:A)-1</f>
        <v>0</v>
      </c>
      <c r="L291" s="40">
        <f>COUNTIFS(Dhan_Trade_Summary!R:R,"&gt;0")/COUNTA(Dhan_Trade_Summary!A:A)-1</f>
        <v>-1</v>
      </c>
      <c r="M291" s="40">
        <f>SUM(Dhan_Trade_Summary!R:R)</f>
        <v>0</v>
      </c>
      <c r="N291" s="40" t="str">
        <f>AVERAGE(Dhan_Trade_Summary!R:R)</f>
        <v>#DIV/0!</v>
      </c>
    </row>
    <row r="292">
      <c r="A292" s="39"/>
      <c r="K292" s="40">
        <f>COUNTA(Dhan_Trade_Summary!A:A)-1</f>
        <v>0</v>
      </c>
      <c r="L292" s="40">
        <f>COUNTIFS(Dhan_Trade_Summary!R:R,"&gt;0")/COUNTA(Dhan_Trade_Summary!A:A)-1</f>
        <v>-1</v>
      </c>
      <c r="M292" s="40">
        <f>SUM(Dhan_Trade_Summary!R:R)</f>
        <v>0</v>
      </c>
      <c r="N292" s="40" t="str">
        <f>AVERAGE(Dhan_Trade_Summary!R:R)</f>
        <v>#DIV/0!</v>
      </c>
    </row>
    <row r="293">
      <c r="A293" s="39"/>
      <c r="K293" s="40">
        <f>COUNTA(Dhan_Trade_Summary!A:A)-1</f>
        <v>0</v>
      </c>
      <c r="L293" s="40">
        <f>COUNTIFS(Dhan_Trade_Summary!R:R,"&gt;0")/COUNTA(Dhan_Trade_Summary!A:A)-1</f>
        <v>-1</v>
      </c>
      <c r="M293" s="40">
        <f>SUM(Dhan_Trade_Summary!R:R)</f>
        <v>0</v>
      </c>
      <c r="N293" s="40" t="str">
        <f>AVERAGE(Dhan_Trade_Summary!R:R)</f>
        <v>#DIV/0!</v>
      </c>
    </row>
    <row r="294">
      <c r="A294" s="39"/>
      <c r="K294" s="40">
        <f>COUNTA(Dhan_Trade_Summary!A:A)-1</f>
        <v>0</v>
      </c>
      <c r="L294" s="40">
        <f>COUNTIFS(Dhan_Trade_Summary!R:R,"&gt;0")/COUNTA(Dhan_Trade_Summary!A:A)-1</f>
        <v>-1</v>
      </c>
      <c r="M294" s="40">
        <f>SUM(Dhan_Trade_Summary!R:R)</f>
        <v>0</v>
      </c>
      <c r="N294" s="40" t="str">
        <f>AVERAGE(Dhan_Trade_Summary!R:R)</f>
        <v>#DIV/0!</v>
      </c>
    </row>
    <row r="295">
      <c r="A295" s="39"/>
      <c r="K295" s="40">
        <f>COUNTA(Dhan_Trade_Summary!A:A)-1</f>
        <v>0</v>
      </c>
      <c r="L295" s="40">
        <f>COUNTIFS(Dhan_Trade_Summary!R:R,"&gt;0")/COUNTA(Dhan_Trade_Summary!A:A)-1</f>
        <v>-1</v>
      </c>
      <c r="M295" s="40">
        <f>SUM(Dhan_Trade_Summary!R:R)</f>
        <v>0</v>
      </c>
      <c r="N295" s="40" t="str">
        <f>AVERAGE(Dhan_Trade_Summary!R:R)</f>
        <v>#DIV/0!</v>
      </c>
    </row>
    <row r="296">
      <c r="A296" s="39"/>
      <c r="K296" s="40">
        <f>COUNTA(Dhan_Trade_Summary!A:A)-1</f>
        <v>0</v>
      </c>
      <c r="L296" s="40">
        <f>COUNTIFS(Dhan_Trade_Summary!R:R,"&gt;0")/COUNTA(Dhan_Trade_Summary!A:A)-1</f>
        <v>-1</v>
      </c>
      <c r="M296" s="40">
        <f>SUM(Dhan_Trade_Summary!R:R)</f>
        <v>0</v>
      </c>
      <c r="N296" s="40" t="str">
        <f>AVERAGE(Dhan_Trade_Summary!R:R)</f>
        <v>#DIV/0!</v>
      </c>
    </row>
    <row r="297">
      <c r="A297" s="39"/>
      <c r="K297" s="40">
        <f>COUNTA(Dhan_Trade_Summary!A:A)-1</f>
        <v>0</v>
      </c>
      <c r="L297" s="40">
        <f>COUNTIFS(Dhan_Trade_Summary!R:R,"&gt;0")/COUNTA(Dhan_Trade_Summary!A:A)-1</f>
        <v>-1</v>
      </c>
      <c r="M297" s="40">
        <f>SUM(Dhan_Trade_Summary!R:R)</f>
        <v>0</v>
      </c>
      <c r="N297" s="40" t="str">
        <f>AVERAGE(Dhan_Trade_Summary!R:R)</f>
        <v>#DIV/0!</v>
      </c>
    </row>
    <row r="298">
      <c r="A298" s="39"/>
      <c r="K298" s="40">
        <f>COUNTA(Dhan_Trade_Summary!A:A)-1</f>
        <v>0</v>
      </c>
      <c r="L298" s="40">
        <f>COUNTIFS(Dhan_Trade_Summary!R:R,"&gt;0")/COUNTA(Dhan_Trade_Summary!A:A)-1</f>
        <v>-1</v>
      </c>
      <c r="M298" s="40">
        <f>SUM(Dhan_Trade_Summary!R:R)</f>
        <v>0</v>
      </c>
      <c r="N298" s="40" t="str">
        <f>AVERAGE(Dhan_Trade_Summary!R:R)</f>
        <v>#DIV/0!</v>
      </c>
    </row>
    <row r="299">
      <c r="A299" s="39"/>
      <c r="K299" s="40">
        <f>COUNTA(Dhan_Trade_Summary!A:A)-1</f>
        <v>0</v>
      </c>
      <c r="L299" s="40">
        <f>COUNTIFS(Dhan_Trade_Summary!R:R,"&gt;0")/COUNTA(Dhan_Trade_Summary!A:A)-1</f>
        <v>-1</v>
      </c>
      <c r="M299" s="40">
        <f>SUM(Dhan_Trade_Summary!R:R)</f>
        <v>0</v>
      </c>
      <c r="N299" s="40" t="str">
        <f>AVERAGE(Dhan_Trade_Summary!R:R)</f>
        <v>#DIV/0!</v>
      </c>
    </row>
    <row r="300">
      <c r="A300" s="39"/>
      <c r="K300" s="40">
        <f>COUNTA(Dhan_Trade_Summary!A:A)-1</f>
        <v>0</v>
      </c>
      <c r="L300" s="40">
        <f>COUNTIFS(Dhan_Trade_Summary!R:R,"&gt;0")/COUNTA(Dhan_Trade_Summary!A:A)-1</f>
        <v>-1</v>
      </c>
      <c r="M300" s="40">
        <f>SUM(Dhan_Trade_Summary!R:R)</f>
        <v>0</v>
      </c>
      <c r="N300" s="40" t="str">
        <f>AVERAGE(Dhan_Trade_Summary!R:R)</f>
        <v>#DIV/0!</v>
      </c>
    </row>
    <row r="301">
      <c r="A301" s="39"/>
      <c r="K301" s="40">
        <f>COUNTA(Dhan_Trade_Summary!A:A)-1</f>
        <v>0</v>
      </c>
      <c r="L301" s="40">
        <f>COUNTIFS(Dhan_Trade_Summary!R:R,"&gt;0")/COUNTA(Dhan_Trade_Summary!A:A)-1</f>
        <v>-1</v>
      </c>
      <c r="M301" s="40">
        <f>SUM(Dhan_Trade_Summary!R:R)</f>
        <v>0</v>
      </c>
      <c r="N301" s="40" t="str">
        <f>AVERAGE(Dhan_Trade_Summary!R:R)</f>
        <v>#DIV/0!</v>
      </c>
    </row>
    <row r="302">
      <c r="A302" s="39"/>
      <c r="K302" s="40">
        <f>COUNTA(Dhan_Trade_Summary!A:A)-1</f>
        <v>0</v>
      </c>
      <c r="L302" s="40">
        <f>COUNTIFS(Dhan_Trade_Summary!R:R,"&gt;0")/COUNTA(Dhan_Trade_Summary!A:A)-1</f>
        <v>-1</v>
      </c>
      <c r="M302" s="40">
        <f>SUM(Dhan_Trade_Summary!R:R)</f>
        <v>0</v>
      </c>
      <c r="N302" s="40" t="str">
        <f>AVERAGE(Dhan_Trade_Summary!R:R)</f>
        <v>#DIV/0!</v>
      </c>
    </row>
    <row r="303">
      <c r="A303" s="39"/>
      <c r="K303" s="40">
        <f>COUNTA(Dhan_Trade_Summary!A:A)-1</f>
        <v>0</v>
      </c>
      <c r="L303" s="40">
        <f>COUNTIFS(Dhan_Trade_Summary!R:R,"&gt;0")/COUNTA(Dhan_Trade_Summary!A:A)-1</f>
        <v>-1</v>
      </c>
      <c r="M303" s="40">
        <f>SUM(Dhan_Trade_Summary!R:R)</f>
        <v>0</v>
      </c>
      <c r="N303" s="40" t="str">
        <f>AVERAGE(Dhan_Trade_Summary!R:R)</f>
        <v>#DIV/0!</v>
      </c>
    </row>
    <row r="304">
      <c r="A304" s="39"/>
      <c r="K304" s="40">
        <f>COUNTA(Dhan_Trade_Summary!A:A)-1</f>
        <v>0</v>
      </c>
      <c r="L304" s="40">
        <f>COUNTIFS(Dhan_Trade_Summary!R:R,"&gt;0")/COUNTA(Dhan_Trade_Summary!A:A)-1</f>
        <v>-1</v>
      </c>
      <c r="M304" s="40">
        <f>SUM(Dhan_Trade_Summary!R:R)</f>
        <v>0</v>
      </c>
      <c r="N304" s="40" t="str">
        <f>AVERAGE(Dhan_Trade_Summary!R:R)</f>
        <v>#DIV/0!</v>
      </c>
    </row>
    <row r="305">
      <c r="A305" s="39"/>
      <c r="K305" s="40">
        <f>COUNTA(Dhan_Trade_Summary!A:A)-1</f>
        <v>0</v>
      </c>
      <c r="L305" s="40">
        <f>COUNTIFS(Dhan_Trade_Summary!R:R,"&gt;0")/COUNTA(Dhan_Trade_Summary!A:A)-1</f>
        <v>-1</v>
      </c>
      <c r="M305" s="40">
        <f>SUM(Dhan_Trade_Summary!R:R)</f>
        <v>0</v>
      </c>
      <c r="N305" s="40" t="str">
        <f>AVERAGE(Dhan_Trade_Summary!R:R)</f>
        <v>#DIV/0!</v>
      </c>
    </row>
    <row r="306">
      <c r="A306" s="39"/>
      <c r="K306" s="40">
        <f>COUNTA(Dhan_Trade_Summary!A:A)-1</f>
        <v>0</v>
      </c>
      <c r="L306" s="40">
        <f>COUNTIFS(Dhan_Trade_Summary!R:R,"&gt;0")/COUNTA(Dhan_Trade_Summary!A:A)-1</f>
        <v>-1</v>
      </c>
      <c r="M306" s="40">
        <f>SUM(Dhan_Trade_Summary!R:R)</f>
        <v>0</v>
      </c>
      <c r="N306" s="40" t="str">
        <f>AVERAGE(Dhan_Trade_Summary!R:R)</f>
        <v>#DIV/0!</v>
      </c>
    </row>
    <row r="307">
      <c r="A307" s="39"/>
      <c r="K307" s="40">
        <f>COUNTA(Dhan_Trade_Summary!A:A)-1</f>
        <v>0</v>
      </c>
      <c r="L307" s="40">
        <f>COUNTIFS(Dhan_Trade_Summary!R:R,"&gt;0")/COUNTA(Dhan_Trade_Summary!A:A)-1</f>
        <v>-1</v>
      </c>
      <c r="M307" s="40">
        <f>SUM(Dhan_Trade_Summary!R:R)</f>
        <v>0</v>
      </c>
      <c r="N307" s="40" t="str">
        <f>AVERAGE(Dhan_Trade_Summary!R:R)</f>
        <v>#DIV/0!</v>
      </c>
    </row>
    <row r="308">
      <c r="A308" s="39"/>
      <c r="K308" s="40">
        <f>COUNTA(Dhan_Trade_Summary!A:A)-1</f>
        <v>0</v>
      </c>
      <c r="L308" s="40">
        <f>COUNTIFS(Dhan_Trade_Summary!R:R,"&gt;0")/COUNTA(Dhan_Trade_Summary!A:A)-1</f>
        <v>-1</v>
      </c>
      <c r="M308" s="40">
        <f>SUM(Dhan_Trade_Summary!R:R)</f>
        <v>0</v>
      </c>
      <c r="N308" s="40" t="str">
        <f>AVERAGE(Dhan_Trade_Summary!R:R)</f>
        <v>#DIV/0!</v>
      </c>
    </row>
    <row r="309">
      <c r="A309" s="39"/>
      <c r="K309" s="40">
        <f>COUNTA(Dhan_Trade_Summary!A:A)-1</f>
        <v>0</v>
      </c>
      <c r="L309" s="40">
        <f>COUNTIFS(Dhan_Trade_Summary!R:R,"&gt;0")/COUNTA(Dhan_Trade_Summary!A:A)-1</f>
        <v>-1</v>
      </c>
      <c r="M309" s="40">
        <f>SUM(Dhan_Trade_Summary!R:R)</f>
        <v>0</v>
      </c>
      <c r="N309" s="40" t="str">
        <f>AVERAGE(Dhan_Trade_Summary!R:R)</f>
        <v>#DIV/0!</v>
      </c>
    </row>
    <row r="310">
      <c r="A310" s="39"/>
      <c r="K310" s="40">
        <f>COUNTA(Dhan_Trade_Summary!A:A)-1</f>
        <v>0</v>
      </c>
      <c r="L310" s="40">
        <f>COUNTIFS(Dhan_Trade_Summary!R:R,"&gt;0")/COUNTA(Dhan_Trade_Summary!A:A)-1</f>
        <v>-1</v>
      </c>
      <c r="M310" s="40">
        <f>SUM(Dhan_Trade_Summary!R:R)</f>
        <v>0</v>
      </c>
      <c r="N310" s="40" t="str">
        <f>AVERAGE(Dhan_Trade_Summary!R:R)</f>
        <v>#DIV/0!</v>
      </c>
    </row>
    <row r="311">
      <c r="A311" s="39"/>
      <c r="K311" s="40">
        <f>COUNTA(Dhan_Trade_Summary!A:A)-1</f>
        <v>0</v>
      </c>
      <c r="L311" s="40">
        <f>COUNTIFS(Dhan_Trade_Summary!R:R,"&gt;0")/COUNTA(Dhan_Trade_Summary!A:A)-1</f>
        <v>-1</v>
      </c>
      <c r="M311" s="40">
        <f>SUM(Dhan_Trade_Summary!R:R)</f>
        <v>0</v>
      </c>
      <c r="N311" s="40" t="str">
        <f>AVERAGE(Dhan_Trade_Summary!R:R)</f>
        <v>#DIV/0!</v>
      </c>
    </row>
    <row r="312">
      <c r="A312" s="39"/>
      <c r="K312" s="40">
        <f>COUNTA(Dhan_Trade_Summary!A:A)-1</f>
        <v>0</v>
      </c>
      <c r="L312" s="40">
        <f>COUNTIFS(Dhan_Trade_Summary!R:R,"&gt;0")/COUNTA(Dhan_Trade_Summary!A:A)-1</f>
        <v>-1</v>
      </c>
      <c r="M312" s="40">
        <f>SUM(Dhan_Trade_Summary!R:R)</f>
        <v>0</v>
      </c>
      <c r="N312" s="40" t="str">
        <f>AVERAGE(Dhan_Trade_Summary!R:R)</f>
        <v>#DIV/0!</v>
      </c>
    </row>
    <row r="313">
      <c r="A313" s="39"/>
      <c r="K313" s="40">
        <f>COUNTA(Dhan_Trade_Summary!A:A)-1</f>
        <v>0</v>
      </c>
      <c r="L313" s="40">
        <f>COUNTIFS(Dhan_Trade_Summary!R:R,"&gt;0")/COUNTA(Dhan_Trade_Summary!A:A)-1</f>
        <v>-1</v>
      </c>
      <c r="M313" s="40">
        <f>SUM(Dhan_Trade_Summary!R:R)</f>
        <v>0</v>
      </c>
      <c r="N313" s="40" t="str">
        <f>AVERAGE(Dhan_Trade_Summary!R:R)</f>
        <v>#DIV/0!</v>
      </c>
    </row>
    <row r="314">
      <c r="A314" s="39"/>
      <c r="K314" s="40">
        <f>COUNTA(Dhan_Trade_Summary!A:A)-1</f>
        <v>0</v>
      </c>
      <c r="L314" s="40">
        <f>COUNTIFS(Dhan_Trade_Summary!R:R,"&gt;0")/COUNTA(Dhan_Trade_Summary!A:A)-1</f>
        <v>-1</v>
      </c>
      <c r="M314" s="40">
        <f>SUM(Dhan_Trade_Summary!R:R)</f>
        <v>0</v>
      </c>
      <c r="N314" s="40" t="str">
        <f>AVERAGE(Dhan_Trade_Summary!R:R)</f>
        <v>#DIV/0!</v>
      </c>
    </row>
    <row r="315">
      <c r="A315" s="39"/>
      <c r="K315" s="40">
        <f>COUNTA(Dhan_Trade_Summary!A:A)-1</f>
        <v>0</v>
      </c>
      <c r="L315" s="40">
        <f>COUNTIFS(Dhan_Trade_Summary!R:R,"&gt;0")/COUNTA(Dhan_Trade_Summary!A:A)-1</f>
        <v>-1</v>
      </c>
      <c r="M315" s="40">
        <f>SUM(Dhan_Trade_Summary!R:R)</f>
        <v>0</v>
      </c>
      <c r="N315" s="40" t="str">
        <f>AVERAGE(Dhan_Trade_Summary!R:R)</f>
        <v>#DIV/0!</v>
      </c>
    </row>
    <row r="316">
      <c r="A316" s="39"/>
      <c r="K316" s="40">
        <f>COUNTA(Dhan_Trade_Summary!A:A)-1</f>
        <v>0</v>
      </c>
      <c r="L316" s="40">
        <f>COUNTIFS(Dhan_Trade_Summary!R:R,"&gt;0")/COUNTA(Dhan_Trade_Summary!A:A)-1</f>
        <v>-1</v>
      </c>
      <c r="M316" s="40">
        <f>SUM(Dhan_Trade_Summary!R:R)</f>
        <v>0</v>
      </c>
      <c r="N316" s="40" t="str">
        <f>AVERAGE(Dhan_Trade_Summary!R:R)</f>
        <v>#DIV/0!</v>
      </c>
    </row>
    <row r="317">
      <c r="A317" s="39"/>
      <c r="K317" s="40">
        <f>COUNTA(Dhan_Trade_Summary!A:A)-1</f>
        <v>0</v>
      </c>
      <c r="L317" s="40">
        <f>COUNTIFS(Dhan_Trade_Summary!R:R,"&gt;0")/COUNTA(Dhan_Trade_Summary!A:A)-1</f>
        <v>-1</v>
      </c>
      <c r="M317" s="40">
        <f>SUM(Dhan_Trade_Summary!R:R)</f>
        <v>0</v>
      </c>
      <c r="N317" s="40" t="str">
        <f>AVERAGE(Dhan_Trade_Summary!R:R)</f>
        <v>#DIV/0!</v>
      </c>
    </row>
    <row r="318">
      <c r="A318" s="39"/>
      <c r="K318" s="40">
        <f>COUNTA(Dhan_Trade_Summary!A:A)-1</f>
        <v>0</v>
      </c>
      <c r="L318" s="40">
        <f>COUNTIFS(Dhan_Trade_Summary!R:R,"&gt;0")/COUNTA(Dhan_Trade_Summary!A:A)-1</f>
        <v>-1</v>
      </c>
      <c r="M318" s="40">
        <f>SUM(Dhan_Trade_Summary!R:R)</f>
        <v>0</v>
      </c>
      <c r="N318" s="40" t="str">
        <f>AVERAGE(Dhan_Trade_Summary!R:R)</f>
        <v>#DIV/0!</v>
      </c>
    </row>
    <row r="319">
      <c r="A319" s="39"/>
      <c r="K319" s="40">
        <f>COUNTA(Dhan_Trade_Summary!A:A)-1</f>
        <v>0</v>
      </c>
      <c r="L319" s="40">
        <f>COUNTIFS(Dhan_Trade_Summary!R:R,"&gt;0")/COUNTA(Dhan_Trade_Summary!A:A)-1</f>
        <v>-1</v>
      </c>
      <c r="M319" s="40">
        <f>SUM(Dhan_Trade_Summary!R:R)</f>
        <v>0</v>
      </c>
      <c r="N319" s="40" t="str">
        <f>AVERAGE(Dhan_Trade_Summary!R:R)</f>
        <v>#DIV/0!</v>
      </c>
    </row>
    <row r="320">
      <c r="A320" s="39"/>
      <c r="K320" s="40">
        <f>COUNTA(Dhan_Trade_Summary!A:A)-1</f>
        <v>0</v>
      </c>
      <c r="L320" s="40">
        <f>COUNTIFS(Dhan_Trade_Summary!R:R,"&gt;0")/COUNTA(Dhan_Trade_Summary!A:A)-1</f>
        <v>-1</v>
      </c>
      <c r="M320" s="40">
        <f>SUM(Dhan_Trade_Summary!R:R)</f>
        <v>0</v>
      </c>
      <c r="N320" s="40" t="str">
        <f>AVERAGE(Dhan_Trade_Summary!R:R)</f>
        <v>#DIV/0!</v>
      </c>
    </row>
    <row r="321">
      <c r="A321" s="39"/>
      <c r="K321" s="40">
        <f>COUNTA(Dhan_Trade_Summary!A:A)-1</f>
        <v>0</v>
      </c>
      <c r="L321" s="40">
        <f>COUNTIFS(Dhan_Trade_Summary!R:R,"&gt;0")/COUNTA(Dhan_Trade_Summary!A:A)-1</f>
        <v>-1</v>
      </c>
      <c r="M321" s="40">
        <f>SUM(Dhan_Trade_Summary!R:R)</f>
        <v>0</v>
      </c>
      <c r="N321" s="40" t="str">
        <f>AVERAGE(Dhan_Trade_Summary!R:R)</f>
        <v>#DIV/0!</v>
      </c>
    </row>
    <row r="322">
      <c r="A322" s="39"/>
      <c r="K322" s="40">
        <f>COUNTA(Dhan_Trade_Summary!A:A)-1</f>
        <v>0</v>
      </c>
      <c r="L322" s="40">
        <f>COUNTIFS(Dhan_Trade_Summary!R:R,"&gt;0")/COUNTA(Dhan_Trade_Summary!A:A)-1</f>
        <v>-1</v>
      </c>
      <c r="M322" s="40">
        <f>SUM(Dhan_Trade_Summary!R:R)</f>
        <v>0</v>
      </c>
      <c r="N322" s="40" t="str">
        <f>AVERAGE(Dhan_Trade_Summary!R:R)</f>
        <v>#DIV/0!</v>
      </c>
    </row>
    <row r="323">
      <c r="A323" s="39"/>
      <c r="K323" s="40">
        <f>COUNTA(Dhan_Trade_Summary!A:A)-1</f>
        <v>0</v>
      </c>
      <c r="L323" s="40">
        <f>COUNTIFS(Dhan_Trade_Summary!R:R,"&gt;0")/COUNTA(Dhan_Trade_Summary!A:A)-1</f>
        <v>-1</v>
      </c>
      <c r="M323" s="40">
        <f>SUM(Dhan_Trade_Summary!R:R)</f>
        <v>0</v>
      </c>
      <c r="N323" s="40" t="str">
        <f>AVERAGE(Dhan_Trade_Summary!R:R)</f>
        <v>#DIV/0!</v>
      </c>
    </row>
    <row r="324">
      <c r="A324" s="39"/>
      <c r="K324" s="40">
        <f>COUNTA(Dhan_Trade_Summary!A:A)-1</f>
        <v>0</v>
      </c>
      <c r="L324" s="40">
        <f>COUNTIFS(Dhan_Trade_Summary!R:R,"&gt;0")/COUNTA(Dhan_Trade_Summary!A:A)-1</f>
        <v>-1</v>
      </c>
      <c r="M324" s="40">
        <f>SUM(Dhan_Trade_Summary!R:R)</f>
        <v>0</v>
      </c>
      <c r="N324" s="40" t="str">
        <f>AVERAGE(Dhan_Trade_Summary!R:R)</f>
        <v>#DIV/0!</v>
      </c>
    </row>
    <row r="325">
      <c r="A325" s="39"/>
      <c r="K325" s="40">
        <f>COUNTA(Dhan_Trade_Summary!A:A)-1</f>
        <v>0</v>
      </c>
      <c r="L325" s="40">
        <f>COUNTIFS(Dhan_Trade_Summary!R:R,"&gt;0")/COUNTA(Dhan_Trade_Summary!A:A)-1</f>
        <v>-1</v>
      </c>
      <c r="M325" s="40">
        <f>SUM(Dhan_Trade_Summary!R:R)</f>
        <v>0</v>
      </c>
      <c r="N325" s="40" t="str">
        <f>AVERAGE(Dhan_Trade_Summary!R:R)</f>
        <v>#DIV/0!</v>
      </c>
    </row>
    <row r="326">
      <c r="A326" s="39"/>
      <c r="K326" s="40">
        <f>COUNTA(Dhan_Trade_Summary!A:A)-1</f>
        <v>0</v>
      </c>
      <c r="L326" s="40">
        <f>COUNTIFS(Dhan_Trade_Summary!R:R,"&gt;0")/COUNTA(Dhan_Trade_Summary!A:A)-1</f>
        <v>-1</v>
      </c>
      <c r="M326" s="40">
        <f>SUM(Dhan_Trade_Summary!R:R)</f>
        <v>0</v>
      </c>
      <c r="N326" s="40" t="str">
        <f>AVERAGE(Dhan_Trade_Summary!R:R)</f>
        <v>#DIV/0!</v>
      </c>
    </row>
    <row r="327">
      <c r="A327" s="39"/>
      <c r="K327" s="40">
        <f>COUNTA(Dhan_Trade_Summary!A:A)-1</f>
        <v>0</v>
      </c>
      <c r="L327" s="40">
        <f>COUNTIFS(Dhan_Trade_Summary!R:R,"&gt;0")/COUNTA(Dhan_Trade_Summary!A:A)-1</f>
        <v>-1</v>
      </c>
      <c r="M327" s="40">
        <f>SUM(Dhan_Trade_Summary!R:R)</f>
        <v>0</v>
      </c>
      <c r="N327" s="40" t="str">
        <f>AVERAGE(Dhan_Trade_Summary!R:R)</f>
        <v>#DIV/0!</v>
      </c>
    </row>
    <row r="328">
      <c r="A328" s="39"/>
      <c r="K328" s="40">
        <f>COUNTA(Dhan_Trade_Summary!A:A)-1</f>
        <v>0</v>
      </c>
      <c r="L328" s="40">
        <f>COUNTIFS(Dhan_Trade_Summary!R:R,"&gt;0")/COUNTA(Dhan_Trade_Summary!A:A)-1</f>
        <v>-1</v>
      </c>
      <c r="M328" s="40">
        <f>SUM(Dhan_Trade_Summary!R:R)</f>
        <v>0</v>
      </c>
      <c r="N328" s="40" t="str">
        <f>AVERAGE(Dhan_Trade_Summary!R:R)</f>
        <v>#DIV/0!</v>
      </c>
    </row>
    <row r="329">
      <c r="A329" s="39"/>
      <c r="K329" s="40">
        <f>COUNTA(Dhan_Trade_Summary!A:A)-1</f>
        <v>0</v>
      </c>
      <c r="L329" s="40">
        <f>COUNTIFS(Dhan_Trade_Summary!R:R,"&gt;0")/COUNTA(Dhan_Trade_Summary!A:A)-1</f>
        <v>-1</v>
      </c>
      <c r="M329" s="40">
        <f>SUM(Dhan_Trade_Summary!R:R)</f>
        <v>0</v>
      </c>
      <c r="N329" s="40" t="str">
        <f>AVERAGE(Dhan_Trade_Summary!R:R)</f>
        <v>#DIV/0!</v>
      </c>
    </row>
    <row r="330">
      <c r="A330" s="39"/>
      <c r="K330" s="40">
        <f>COUNTA(Dhan_Trade_Summary!A:A)-1</f>
        <v>0</v>
      </c>
      <c r="L330" s="40">
        <f>COUNTIFS(Dhan_Trade_Summary!R:R,"&gt;0")/COUNTA(Dhan_Trade_Summary!A:A)-1</f>
        <v>-1</v>
      </c>
      <c r="M330" s="40">
        <f>SUM(Dhan_Trade_Summary!R:R)</f>
        <v>0</v>
      </c>
      <c r="N330" s="40" t="str">
        <f>AVERAGE(Dhan_Trade_Summary!R:R)</f>
        <v>#DIV/0!</v>
      </c>
    </row>
    <row r="331">
      <c r="A331" s="39"/>
      <c r="K331" s="40">
        <f>COUNTA(Dhan_Trade_Summary!A:A)-1</f>
        <v>0</v>
      </c>
      <c r="L331" s="40">
        <f>COUNTIFS(Dhan_Trade_Summary!R:R,"&gt;0")/COUNTA(Dhan_Trade_Summary!A:A)-1</f>
        <v>-1</v>
      </c>
      <c r="M331" s="40">
        <f>SUM(Dhan_Trade_Summary!R:R)</f>
        <v>0</v>
      </c>
      <c r="N331" s="40" t="str">
        <f>AVERAGE(Dhan_Trade_Summary!R:R)</f>
        <v>#DIV/0!</v>
      </c>
    </row>
    <row r="332">
      <c r="A332" s="39"/>
      <c r="K332" s="40">
        <f>COUNTA(Dhan_Trade_Summary!A:A)-1</f>
        <v>0</v>
      </c>
      <c r="L332" s="40">
        <f>COUNTIFS(Dhan_Trade_Summary!R:R,"&gt;0")/COUNTA(Dhan_Trade_Summary!A:A)-1</f>
        <v>-1</v>
      </c>
      <c r="M332" s="40">
        <f>SUM(Dhan_Trade_Summary!R:R)</f>
        <v>0</v>
      </c>
      <c r="N332" s="40" t="str">
        <f>AVERAGE(Dhan_Trade_Summary!R:R)</f>
        <v>#DIV/0!</v>
      </c>
    </row>
    <row r="333">
      <c r="A333" s="39"/>
      <c r="K333" s="40">
        <f>COUNTA(Dhan_Trade_Summary!A:A)-1</f>
        <v>0</v>
      </c>
      <c r="L333" s="40">
        <f>COUNTIFS(Dhan_Trade_Summary!R:R,"&gt;0")/COUNTA(Dhan_Trade_Summary!A:A)-1</f>
        <v>-1</v>
      </c>
      <c r="M333" s="40">
        <f>SUM(Dhan_Trade_Summary!R:R)</f>
        <v>0</v>
      </c>
      <c r="N333" s="40" t="str">
        <f>AVERAGE(Dhan_Trade_Summary!R:R)</f>
        <v>#DIV/0!</v>
      </c>
    </row>
    <row r="334">
      <c r="A334" s="39"/>
      <c r="K334" s="40">
        <f>COUNTA(Dhan_Trade_Summary!A:A)-1</f>
        <v>0</v>
      </c>
      <c r="L334" s="40">
        <f>COUNTIFS(Dhan_Trade_Summary!R:R,"&gt;0")/COUNTA(Dhan_Trade_Summary!A:A)-1</f>
        <v>-1</v>
      </c>
      <c r="M334" s="40">
        <f>SUM(Dhan_Trade_Summary!R:R)</f>
        <v>0</v>
      </c>
      <c r="N334" s="40" t="str">
        <f>AVERAGE(Dhan_Trade_Summary!R:R)</f>
        <v>#DIV/0!</v>
      </c>
    </row>
    <row r="335">
      <c r="A335" s="39"/>
      <c r="K335" s="40">
        <f>COUNTA(Dhan_Trade_Summary!A:A)-1</f>
        <v>0</v>
      </c>
      <c r="L335" s="40">
        <f>COUNTIFS(Dhan_Trade_Summary!R:R,"&gt;0")/COUNTA(Dhan_Trade_Summary!A:A)-1</f>
        <v>-1</v>
      </c>
      <c r="M335" s="40">
        <f>SUM(Dhan_Trade_Summary!R:R)</f>
        <v>0</v>
      </c>
      <c r="N335" s="40" t="str">
        <f>AVERAGE(Dhan_Trade_Summary!R:R)</f>
        <v>#DIV/0!</v>
      </c>
    </row>
    <row r="336">
      <c r="A336" s="39"/>
      <c r="K336" s="40">
        <f>COUNTA(Dhan_Trade_Summary!A:A)-1</f>
        <v>0</v>
      </c>
      <c r="L336" s="40">
        <f>COUNTIFS(Dhan_Trade_Summary!R:R,"&gt;0")/COUNTA(Dhan_Trade_Summary!A:A)-1</f>
        <v>-1</v>
      </c>
      <c r="M336" s="40">
        <f>SUM(Dhan_Trade_Summary!R:R)</f>
        <v>0</v>
      </c>
      <c r="N336" s="40" t="str">
        <f>AVERAGE(Dhan_Trade_Summary!R:R)</f>
        <v>#DIV/0!</v>
      </c>
    </row>
    <row r="337">
      <c r="A337" s="39"/>
      <c r="K337" s="40">
        <f>COUNTA(Dhan_Trade_Summary!A:A)-1</f>
        <v>0</v>
      </c>
      <c r="L337" s="40">
        <f>COUNTIFS(Dhan_Trade_Summary!R:R,"&gt;0")/COUNTA(Dhan_Trade_Summary!A:A)-1</f>
        <v>-1</v>
      </c>
      <c r="M337" s="40">
        <f>SUM(Dhan_Trade_Summary!R:R)</f>
        <v>0</v>
      </c>
      <c r="N337" s="40" t="str">
        <f>AVERAGE(Dhan_Trade_Summary!R:R)</f>
        <v>#DIV/0!</v>
      </c>
    </row>
    <row r="338">
      <c r="A338" s="39"/>
      <c r="K338" s="40">
        <f>COUNTA(Dhan_Trade_Summary!A:A)-1</f>
        <v>0</v>
      </c>
      <c r="L338" s="40">
        <f>COUNTIFS(Dhan_Trade_Summary!R:R,"&gt;0")/COUNTA(Dhan_Trade_Summary!A:A)-1</f>
        <v>-1</v>
      </c>
      <c r="M338" s="40">
        <f>SUM(Dhan_Trade_Summary!R:R)</f>
        <v>0</v>
      </c>
      <c r="N338" s="40" t="str">
        <f>AVERAGE(Dhan_Trade_Summary!R:R)</f>
        <v>#DIV/0!</v>
      </c>
    </row>
    <row r="339">
      <c r="A339" s="39"/>
      <c r="K339" s="40">
        <f>COUNTA(Dhan_Trade_Summary!A:A)-1</f>
        <v>0</v>
      </c>
      <c r="L339" s="40">
        <f>COUNTIFS(Dhan_Trade_Summary!R:R,"&gt;0")/COUNTA(Dhan_Trade_Summary!A:A)-1</f>
        <v>-1</v>
      </c>
      <c r="M339" s="40">
        <f>SUM(Dhan_Trade_Summary!R:R)</f>
        <v>0</v>
      </c>
      <c r="N339" s="40" t="str">
        <f>AVERAGE(Dhan_Trade_Summary!R:R)</f>
        <v>#DIV/0!</v>
      </c>
    </row>
    <row r="340">
      <c r="A340" s="39"/>
      <c r="K340" s="40">
        <f>COUNTA(Dhan_Trade_Summary!A:A)-1</f>
        <v>0</v>
      </c>
      <c r="L340" s="40">
        <f>COUNTIFS(Dhan_Trade_Summary!R:R,"&gt;0")/COUNTA(Dhan_Trade_Summary!A:A)-1</f>
        <v>-1</v>
      </c>
      <c r="M340" s="40">
        <f>SUM(Dhan_Trade_Summary!R:R)</f>
        <v>0</v>
      </c>
      <c r="N340" s="40" t="str">
        <f>AVERAGE(Dhan_Trade_Summary!R:R)</f>
        <v>#DIV/0!</v>
      </c>
    </row>
    <row r="341">
      <c r="A341" s="39"/>
      <c r="K341" s="40">
        <f>COUNTA(Dhan_Trade_Summary!A:A)-1</f>
        <v>0</v>
      </c>
      <c r="L341" s="40">
        <f>COUNTIFS(Dhan_Trade_Summary!R:R,"&gt;0")/COUNTA(Dhan_Trade_Summary!A:A)-1</f>
        <v>-1</v>
      </c>
      <c r="M341" s="40">
        <f>SUM(Dhan_Trade_Summary!R:R)</f>
        <v>0</v>
      </c>
      <c r="N341" s="40" t="str">
        <f>AVERAGE(Dhan_Trade_Summary!R:R)</f>
        <v>#DIV/0!</v>
      </c>
    </row>
    <row r="342">
      <c r="A342" s="39"/>
      <c r="K342" s="40">
        <f>COUNTA(Dhan_Trade_Summary!A:A)-1</f>
        <v>0</v>
      </c>
      <c r="L342" s="40">
        <f>COUNTIFS(Dhan_Trade_Summary!R:R,"&gt;0")/COUNTA(Dhan_Trade_Summary!A:A)-1</f>
        <v>-1</v>
      </c>
      <c r="M342" s="40">
        <f>SUM(Dhan_Trade_Summary!R:R)</f>
        <v>0</v>
      </c>
      <c r="N342" s="40" t="str">
        <f>AVERAGE(Dhan_Trade_Summary!R:R)</f>
        <v>#DIV/0!</v>
      </c>
    </row>
    <row r="343">
      <c r="A343" s="39"/>
      <c r="K343" s="40">
        <f>COUNTA(Dhan_Trade_Summary!A:A)-1</f>
        <v>0</v>
      </c>
      <c r="L343" s="40">
        <f>COUNTIFS(Dhan_Trade_Summary!R:R,"&gt;0")/COUNTA(Dhan_Trade_Summary!A:A)-1</f>
        <v>-1</v>
      </c>
      <c r="M343" s="40">
        <f>SUM(Dhan_Trade_Summary!R:R)</f>
        <v>0</v>
      </c>
      <c r="N343" s="40" t="str">
        <f>AVERAGE(Dhan_Trade_Summary!R:R)</f>
        <v>#DIV/0!</v>
      </c>
    </row>
    <row r="344">
      <c r="A344" s="39"/>
      <c r="K344" s="40"/>
    </row>
    <row r="345">
      <c r="A345" s="39"/>
      <c r="K345" s="40"/>
    </row>
    <row r="346">
      <c r="A346" s="39"/>
      <c r="K346" s="40"/>
    </row>
    <row r="347">
      <c r="A347" s="39"/>
      <c r="K347" s="40"/>
    </row>
    <row r="348">
      <c r="A348" s="39"/>
      <c r="K348" s="40"/>
    </row>
    <row r="349">
      <c r="A349" s="39"/>
      <c r="K349" s="40"/>
    </row>
    <row r="350">
      <c r="A350" s="39"/>
      <c r="K350" s="40"/>
    </row>
    <row r="351">
      <c r="A351" s="39"/>
      <c r="K351" s="40"/>
    </row>
    <row r="352">
      <c r="A352" s="39"/>
      <c r="K352" s="40"/>
    </row>
    <row r="353">
      <c r="A353" s="39"/>
      <c r="K353" s="40"/>
    </row>
    <row r="354">
      <c r="A354" s="39"/>
      <c r="K354" s="40"/>
    </row>
    <row r="355">
      <c r="A355" s="39"/>
      <c r="K355" s="40"/>
    </row>
    <row r="356">
      <c r="A356" s="39"/>
      <c r="K356" s="40"/>
    </row>
    <row r="357">
      <c r="A357" s="39"/>
      <c r="K357" s="40"/>
    </row>
    <row r="358">
      <c r="A358" s="39"/>
      <c r="K358" s="40"/>
    </row>
    <row r="359">
      <c r="A359" s="39"/>
      <c r="K359" s="40"/>
    </row>
    <row r="360">
      <c r="A360" s="39"/>
      <c r="K360" s="40"/>
    </row>
    <row r="361">
      <c r="A361" s="39"/>
      <c r="K361" s="40"/>
    </row>
    <row r="362">
      <c r="A362" s="39"/>
      <c r="K362" s="40"/>
    </row>
    <row r="363">
      <c r="A363" s="39"/>
      <c r="K363" s="40"/>
    </row>
    <row r="364">
      <c r="A364" s="39"/>
      <c r="K364" s="40"/>
    </row>
    <row r="365">
      <c r="A365" s="39"/>
      <c r="K365" s="40"/>
    </row>
    <row r="366">
      <c r="A366" s="39"/>
      <c r="K366" s="40"/>
    </row>
    <row r="367">
      <c r="A367" s="39"/>
      <c r="K367" s="40"/>
    </row>
    <row r="368">
      <c r="A368" s="39"/>
      <c r="K368" s="40"/>
    </row>
    <row r="369">
      <c r="A369" s="39"/>
      <c r="K369" s="40"/>
    </row>
    <row r="370">
      <c r="A370" s="39"/>
      <c r="K370" s="40"/>
    </row>
    <row r="371">
      <c r="A371" s="39"/>
      <c r="K371" s="40"/>
    </row>
    <row r="372">
      <c r="A372" s="39"/>
      <c r="K372" s="40"/>
    </row>
    <row r="373">
      <c r="A373" s="39"/>
      <c r="K373" s="40"/>
    </row>
    <row r="374">
      <c r="A374" s="39"/>
      <c r="K374" s="40"/>
    </row>
    <row r="375">
      <c r="A375" s="39"/>
      <c r="K375" s="40"/>
    </row>
    <row r="376">
      <c r="A376" s="39"/>
      <c r="K376" s="40"/>
    </row>
    <row r="377">
      <c r="A377" s="39"/>
      <c r="K377" s="40"/>
    </row>
    <row r="378">
      <c r="A378" s="39"/>
      <c r="K378" s="40"/>
    </row>
    <row r="379">
      <c r="A379" s="39"/>
      <c r="K379" s="40"/>
    </row>
    <row r="380">
      <c r="A380" s="39"/>
      <c r="K380" s="40"/>
    </row>
    <row r="381">
      <c r="A381" s="39"/>
      <c r="K381" s="40"/>
    </row>
    <row r="382">
      <c r="A382" s="39"/>
      <c r="K382" s="40"/>
    </row>
    <row r="383">
      <c r="A383" s="39"/>
      <c r="K383" s="40"/>
    </row>
    <row r="384">
      <c r="A384" s="39"/>
      <c r="K384" s="40"/>
    </row>
    <row r="385">
      <c r="A385" s="39"/>
      <c r="K385" s="40"/>
    </row>
    <row r="386">
      <c r="A386" s="39"/>
      <c r="K386" s="40"/>
    </row>
    <row r="387">
      <c r="A387" s="39"/>
      <c r="K387" s="40"/>
    </row>
    <row r="388">
      <c r="A388" s="39"/>
      <c r="K388" s="40"/>
    </row>
    <row r="389">
      <c r="A389" s="39"/>
      <c r="K389" s="40"/>
    </row>
    <row r="390">
      <c r="A390" s="39"/>
      <c r="K390" s="40"/>
    </row>
    <row r="391">
      <c r="A391" s="39"/>
      <c r="K391" s="40"/>
    </row>
    <row r="392">
      <c r="A392" s="39"/>
      <c r="K392" s="40"/>
    </row>
    <row r="393">
      <c r="A393" s="39"/>
      <c r="K393" s="40"/>
    </row>
    <row r="394">
      <c r="A394" s="39"/>
      <c r="K394" s="40"/>
    </row>
    <row r="395">
      <c r="A395" s="39"/>
      <c r="K395" s="40"/>
    </row>
    <row r="396">
      <c r="A396" s="39"/>
      <c r="K396" s="40"/>
    </row>
    <row r="397">
      <c r="A397" s="39"/>
      <c r="K397" s="40"/>
    </row>
    <row r="398">
      <c r="A398" s="39"/>
      <c r="K398" s="40"/>
    </row>
    <row r="399">
      <c r="A399" s="39"/>
      <c r="K399" s="40"/>
    </row>
    <row r="400">
      <c r="A400" s="39"/>
      <c r="K400" s="40"/>
    </row>
    <row r="401">
      <c r="A401" s="39"/>
      <c r="K401" s="40"/>
    </row>
    <row r="402">
      <c r="A402" s="39"/>
      <c r="K402" s="40"/>
    </row>
    <row r="403">
      <c r="A403" s="39"/>
      <c r="K403" s="40"/>
    </row>
    <row r="404">
      <c r="A404" s="39"/>
      <c r="K404" s="40"/>
    </row>
    <row r="405">
      <c r="A405" s="39"/>
      <c r="K405" s="40"/>
    </row>
    <row r="406">
      <c r="A406" s="39"/>
      <c r="K406" s="40"/>
    </row>
    <row r="407">
      <c r="A407" s="39"/>
      <c r="K407" s="40"/>
    </row>
    <row r="408">
      <c r="A408" s="39"/>
      <c r="K408" s="40"/>
    </row>
    <row r="409">
      <c r="A409" s="39"/>
      <c r="K409" s="40"/>
    </row>
    <row r="410">
      <c r="A410" s="39"/>
      <c r="K410" s="40"/>
    </row>
    <row r="411">
      <c r="A411" s="39"/>
      <c r="K411" s="40"/>
    </row>
    <row r="412">
      <c r="A412" s="39"/>
      <c r="K412" s="40"/>
    </row>
    <row r="413">
      <c r="A413" s="39"/>
      <c r="K413" s="40"/>
    </row>
    <row r="414">
      <c r="A414" s="39"/>
      <c r="K414" s="40"/>
    </row>
    <row r="415">
      <c r="A415" s="39"/>
      <c r="K415" s="40"/>
    </row>
    <row r="416">
      <c r="A416" s="39"/>
      <c r="K416" s="40"/>
    </row>
    <row r="417">
      <c r="A417" s="39"/>
      <c r="K417" s="40"/>
    </row>
    <row r="418">
      <c r="A418" s="39"/>
      <c r="K418" s="40"/>
    </row>
    <row r="419">
      <c r="A419" s="39"/>
      <c r="K419" s="40"/>
    </row>
    <row r="420">
      <c r="A420" s="39"/>
      <c r="K420" s="40"/>
    </row>
    <row r="421">
      <c r="A421" s="39"/>
      <c r="K421" s="40"/>
    </row>
    <row r="422">
      <c r="A422" s="39"/>
      <c r="K422" s="40"/>
    </row>
    <row r="423">
      <c r="A423" s="39"/>
      <c r="K423" s="40"/>
    </row>
    <row r="424">
      <c r="A424" s="39"/>
      <c r="K424" s="40"/>
    </row>
    <row r="425">
      <c r="A425" s="39"/>
      <c r="K425" s="40"/>
    </row>
    <row r="426">
      <c r="A426" s="39"/>
      <c r="K426" s="40"/>
    </row>
    <row r="427">
      <c r="A427" s="39"/>
      <c r="K427" s="40"/>
    </row>
    <row r="428">
      <c r="A428" s="39"/>
      <c r="K428" s="40"/>
    </row>
    <row r="429">
      <c r="A429" s="39"/>
      <c r="K429" s="40"/>
    </row>
    <row r="430">
      <c r="A430" s="39"/>
      <c r="K430" s="40"/>
    </row>
    <row r="431">
      <c r="A431" s="39"/>
      <c r="K431" s="40"/>
    </row>
    <row r="432">
      <c r="A432" s="39"/>
      <c r="K432" s="40"/>
    </row>
    <row r="433">
      <c r="A433" s="39"/>
      <c r="K433" s="40"/>
    </row>
    <row r="434">
      <c r="A434" s="39"/>
      <c r="K434" s="40"/>
    </row>
    <row r="435">
      <c r="A435" s="39"/>
      <c r="K435" s="40"/>
    </row>
    <row r="436">
      <c r="A436" s="39"/>
      <c r="K436" s="40"/>
    </row>
    <row r="437">
      <c r="A437" s="39"/>
      <c r="K437" s="40"/>
    </row>
    <row r="438">
      <c r="A438" s="39"/>
      <c r="K438" s="40"/>
    </row>
    <row r="439">
      <c r="A439" s="39"/>
      <c r="K439" s="40"/>
    </row>
    <row r="440">
      <c r="A440" s="39"/>
      <c r="K440" s="40"/>
    </row>
    <row r="441">
      <c r="A441" s="39"/>
      <c r="K441" s="40"/>
    </row>
    <row r="442">
      <c r="A442" s="39"/>
      <c r="K442" s="40"/>
    </row>
    <row r="443">
      <c r="A443" s="39"/>
      <c r="K443" s="40"/>
    </row>
    <row r="444">
      <c r="A444" s="39"/>
      <c r="K444" s="40"/>
    </row>
    <row r="445">
      <c r="A445" s="39"/>
      <c r="K445" s="40"/>
    </row>
    <row r="446">
      <c r="A446" s="39"/>
      <c r="K446" s="40"/>
    </row>
    <row r="447">
      <c r="A447" s="39"/>
      <c r="K447" s="40"/>
    </row>
    <row r="448">
      <c r="A448" s="39"/>
      <c r="K448" s="40"/>
    </row>
    <row r="449">
      <c r="A449" s="39"/>
      <c r="K449" s="40"/>
    </row>
    <row r="450">
      <c r="A450" s="39"/>
      <c r="K450" s="40"/>
    </row>
    <row r="451">
      <c r="A451" s="39"/>
      <c r="K451" s="40"/>
    </row>
    <row r="452">
      <c r="A452" s="39"/>
      <c r="K452" s="40"/>
    </row>
    <row r="453">
      <c r="A453" s="39"/>
      <c r="K453" s="40"/>
    </row>
    <row r="454">
      <c r="A454" s="39"/>
      <c r="K454" s="40"/>
    </row>
    <row r="455">
      <c r="A455" s="39"/>
      <c r="K455" s="40"/>
    </row>
    <row r="456">
      <c r="A456" s="39"/>
      <c r="K456" s="40"/>
    </row>
    <row r="457">
      <c r="A457" s="39"/>
      <c r="K457" s="40"/>
    </row>
    <row r="458">
      <c r="A458" s="39"/>
      <c r="K458" s="40"/>
    </row>
    <row r="459">
      <c r="A459" s="39"/>
      <c r="K459" s="40"/>
    </row>
    <row r="460">
      <c r="A460" s="39"/>
      <c r="K460" s="40"/>
    </row>
    <row r="461">
      <c r="A461" s="39"/>
      <c r="K461" s="40"/>
    </row>
    <row r="462">
      <c r="A462" s="39"/>
      <c r="K462" s="40"/>
    </row>
    <row r="463">
      <c r="A463" s="39"/>
      <c r="K463" s="40"/>
    </row>
    <row r="464">
      <c r="A464" s="39"/>
      <c r="K464" s="40"/>
    </row>
    <row r="465">
      <c r="A465" s="39"/>
      <c r="K465" s="40"/>
    </row>
    <row r="466">
      <c r="A466" s="39"/>
      <c r="K466" s="40"/>
    </row>
    <row r="467">
      <c r="A467" s="39"/>
      <c r="K467" s="40"/>
    </row>
    <row r="468">
      <c r="A468" s="39"/>
      <c r="K468" s="40"/>
    </row>
    <row r="469">
      <c r="A469" s="39"/>
      <c r="K469" s="40"/>
    </row>
    <row r="470">
      <c r="A470" s="39"/>
      <c r="K470" s="40"/>
    </row>
    <row r="471">
      <c r="A471" s="39"/>
      <c r="K471" s="40"/>
    </row>
    <row r="472">
      <c r="A472" s="39"/>
      <c r="K472" s="40"/>
    </row>
    <row r="473">
      <c r="A473" s="39"/>
      <c r="K473" s="40"/>
    </row>
    <row r="474">
      <c r="A474" s="39"/>
      <c r="K474" s="40"/>
    </row>
    <row r="475">
      <c r="A475" s="39"/>
      <c r="K475" s="40"/>
    </row>
    <row r="476">
      <c r="A476" s="39"/>
      <c r="K476" s="40"/>
    </row>
    <row r="477">
      <c r="A477" s="39"/>
      <c r="K477" s="40"/>
    </row>
    <row r="478">
      <c r="A478" s="39"/>
      <c r="K478" s="40"/>
    </row>
    <row r="479">
      <c r="A479" s="39"/>
      <c r="K479" s="40"/>
    </row>
    <row r="480">
      <c r="A480" s="39"/>
      <c r="K480" s="40"/>
    </row>
    <row r="481">
      <c r="A481" s="39"/>
      <c r="K481" s="40"/>
    </row>
    <row r="482">
      <c r="A482" s="39"/>
      <c r="K482" s="40"/>
    </row>
    <row r="483">
      <c r="A483" s="39"/>
      <c r="K483" s="40"/>
    </row>
    <row r="484">
      <c r="A484" s="39"/>
      <c r="K484" s="40"/>
    </row>
    <row r="485">
      <c r="A485" s="39"/>
      <c r="K485" s="40"/>
    </row>
    <row r="486">
      <c r="A486" s="39"/>
      <c r="K486" s="40"/>
    </row>
    <row r="487">
      <c r="A487" s="39"/>
      <c r="K487" s="40"/>
    </row>
    <row r="488">
      <c r="A488" s="39"/>
      <c r="K488" s="40"/>
    </row>
    <row r="489">
      <c r="A489" s="39"/>
      <c r="K489" s="40"/>
    </row>
    <row r="490">
      <c r="A490" s="39"/>
      <c r="K490" s="40"/>
    </row>
    <row r="491">
      <c r="A491" s="39"/>
      <c r="K491" s="40"/>
    </row>
    <row r="492">
      <c r="A492" s="39"/>
      <c r="K492" s="40"/>
    </row>
    <row r="493">
      <c r="A493" s="39"/>
      <c r="K493" s="40"/>
    </row>
    <row r="494">
      <c r="A494" s="39"/>
      <c r="K494" s="40"/>
    </row>
    <row r="495">
      <c r="A495" s="39"/>
      <c r="K495" s="40"/>
    </row>
    <row r="496">
      <c r="A496" s="39"/>
      <c r="K496" s="40"/>
    </row>
    <row r="497">
      <c r="A497" s="39"/>
      <c r="K497" s="40"/>
    </row>
    <row r="498">
      <c r="A498" s="39"/>
      <c r="K498" s="40"/>
    </row>
    <row r="499">
      <c r="A499" s="39"/>
      <c r="K499" s="40"/>
    </row>
    <row r="500">
      <c r="A500" s="39"/>
      <c r="K500" s="40"/>
    </row>
    <row r="501">
      <c r="A501" s="39"/>
      <c r="K501" s="40"/>
    </row>
    <row r="502">
      <c r="A502" s="39"/>
      <c r="K502" s="40"/>
    </row>
    <row r="503">
      <c r="A503" s="39"/>
      <c r="K503" s="40"/>
    </row>
    <row r="504">
      <c r="A504" s="39"/>
      <c r="K504" s="40"/>
    </row>
    <row r="505">
      <c r="A505" s="39"/>
      <c r="K505" s="40"/>
    </row>
    <row r="506">
      <c r="A506" s="39"/>
      <c r="K506" s="40"/>
    </row>
    <row r="507">
      <c r="A507" s="39"/>
      <c r="K507" s="40"/>
    </row>
    <row r="508">
      <c r="A508" s="39"/>
      <c r="K508" s="40"/>
    </row>
    <row r="509">
      <c r="A509" s="39"/>
      <c r="K509" s="40"/>
    </row>
    <row r="510">
      <c r="A510" s="39"/>
      <c r="K510" s="40"/>
    </row>
    <row r="511">
      <c r="A511" s="39"/>
      <c r="K511" s="40"/>
    </row>
    <row r="512">
      <c r="A512" s="39"/>
      <c r="K512" s="40"/>
    </row>
    <row r="513">
      <c r="A513" s="39"/>
      <c r="K513" s="40"/>
    </row>
    <row r="514">
      <c r="A514" s="39"/>
      <c r="K514" s="40"/>
    </row>
    <row r="515">
      <c r="A515" s="39"/>
      <c r="K515" s="40"/>
    </row>
    <row r="516">
      <c r="A516" s="39"/>
      <c r="K516" s="40"/>
    </row>
    <row r="517">
      <c r="A517" s="39"/>
      <c r="K517" s="40"/>
    </row>
    <row r="518">
      <c r="A518" s="39"/>
      <c r="K518" s="40"/>
    </row>
    <row r="519">
      <c r="A519" s="39"/>
      <c r="K519" s="40"/>
    </row>
    <row r="520">
      <c r="A520" s="39"/>
      <c r="K520" s="40"/>
    </row>
    <row r="521">
      <c r="A521" s="39"/>
      <c r="K521" s="40"/>
    </row>
    <row r="522">
      <c r="A522" s="39"/>
      <c r="K522" s="40"/>
    </row>
    <row r="523">
      <c r="A523" s="39"/>
      <c r="K523" s="40"/>
    </row>
    <row r="524">
      <c r="A524" s="39"/>
      <c r="K524" s="40"/>
    </row>
    <row r="525">
      <c r="A525" s="39"/>
      <c r="K525" s="40"/>
    </row>
    <row r="526">
      <c r="A526" s="39"/>
      <c r="K526" s="40"/>
    </row>
    <row r="527">
      <c r="A527" s="39"/>
      <c r="K527" s="40"/>
    </row>
    <row r="528">
      <c r="A528" s="39"/>
      <c r="K528" s="40"/>
    </row>
    <row r="529">
      <c r="A529" s="39"/>
      <c r="K529" s="40"/>
    </row>
    <row r="530">
      <c r="A530" s="39"/>
      <c r="K530" s="40"/>
    </row>
    <row r="531">
      <c r="A531" s="39"/>
      <c r="K531" s="40"/>
    </row>
    <row r="532">
      <c r="A532" s="39"/>
      <c r="K532" s="40"/>
    </row>
    <row r="533">
      <c r="A533" s="39"/>
      <c r="K533" s="40"/>
    </row>
    <row r="534">
      <c r="A534" s="39"/>
      <c r="K534" s="40"/>
    </row>
    <row r="535">
      <c r="A535" s="39"/>
      <c r="K535" s="40"/>
    </row>
    <row r="536">
      <c r="A536" s="39"/>
      <c r="K536" s="40"/>
    </row>
    <row r="537">
      <c r="A537" s="39"/>
      <c r="K537" s="40"/>
    </row>
    <row r="538">
      <c r="A538" s="39"/>
      <c r="K538" s="40"/>
    </row>
    <row r="539">
      <c r="A539" s="39"/>
      <c r="K539" s="40"/>
    </row>
    <row r="540">
      <c r="A540" s="39"/>
      <c r="K540" s="40"/>
    </row>
    <row r="541">
      <c r="A541" s="39"/>
      <c r="K541" s="40"/>
    </row>
    <row r="542">
      <c r="A542" s="39"/>
      <c r="K542" s="40"/>
    </row>
    <row r="543">
      <c r="A543" s="39"/>
      <c r="K543" s="40"/>
    </row>
    <row r="544">
      <c r="A544" s="39"/>
      <c r="K544" s="40"/>
    </row>
    <row r="545">
      <c r="A545" s="39"/>
      <c r="K545" s="40"/>
    </row>
    <row r="546">
      <c r="A546" s="39"/>
      <c r="K546" s="40"/>
    </row>
    <row r="547">
      <c r="A547" s="39"/>
      <c r="K547" s="40"/>
    </row>
    <row r="548">
      <c r="A548" s="39"/>
      <c r="K548" s="40"/>
    </row>
    <row r="549">
      <c r="A549" s="39"/>
      <c r="K549" s="40"/>
    </row>
    <row r="550">
      <c r="A550" s="39"/>
      <c r="K550" s="40"/>
    </row>
    <row r="551">
      <c r="A551" s="39"/>
      <c r="K551" s="40"/>
    </row>
    <row r="552">
      <c r="A552" s="39"/>
      <c r="K552" s="40"/>
    </row>
    <row r="553">
      <c r="A553" s="39"/>
      <c r="K553" s="40"/>
    </row>
    <row r="554">
      <c r="A554" s="39"/>
      <c r="K554" s="40"/>
    </row>
    <row r="555">
      <c r="A555" s="39"/>
      <c r="K555" s="40"/>
    </row>
    <row r="556">
      <c r="A556" s="39"/>
      <c r="K556" s="40"/>
    </row>
    <row r="557">
      <c r="A557" s="39"/>
      <c r="K557" s="40"/>
    </row>
    <row r="558">
      <c r="A558" s="39"/>
      <c r="K558" s="40"/>
    </row>
    <row r="559">
      <c r="A559" s="39"/>
      <c r="K559" s="40"/>
    </row>
    <row r="560">
      <c r="A560" s="39"/>
      <c r="K560" s="40"/>
    </row>
    <row r="561">
      <c r="A561" s="39"/>
      <c r="K561" s="40"/>
    </row>
    <row r="562">
      <c r="A562" s="39"/>
      <c r="K562" s="40"/>
    </row>
    <row r="563">
      <c r="A563" s="39"/>
      <c r="K563" s="40"/>
    </row>
    <row r="564">
      <c r="A564" s="39"/>
      <c r="K564" s="40"/>
    </row>
    <row r="565">
      <c r="A565" s="39"/>
      <c r="K565" s="40"/>
    </row>
    <row r="566">
      <c r="A566" s="39"/>
      <c r="K566" s="40"/>
    </row>
    <row r="567">
      <c r="A567" s="39"/>
      <c r="K567" s="40"/>
    </row>
    <row r="568">
      <c r="A568" s="39"/>
      <c r="K568" s="40"/>
    </row>
    <row r="569">
      <c r="A569" s="39"/>
      <c r="K569" s="40"/>
    </row>
    <row r="570">
      <c r="A570" s="39"/>
      <c r="K570" s="40"/>
    </row>
    <row r="571">
      <c r="A571" s="39"/>
      <c r="K571" s="40"/>
    </row>
    <row r="572">
      <c r="A572" s="39"/>
      <c r="K572" s="40"/>
    </row>
    <row r="573">
      <c r="A573" s="39"/>
      <c r="K573" s="40"/>
    </row>
    <row r="574">
      <c r="A574" s="39"/>
      <c r="K574" s="40"/>
    </row>
    <row r="575">
      <c r="A575" s="39"/>
      <c r="K575" s="40"/>
    </row>
    <row r="576">
      <c r="A576" s="39"/>
      <c r="K576" s="40"/>
    </row>
    <row r="577">
      <c r="A577" s="39"/>
      <c r="K577" s="40"/>
    </row>
    <row r="578">
      <c r="A578" s="39"/>
      <c r="K578" s="40"/>
    </row>
    <row r="579">
      <c r="A579" s="39"/>
      <c r="K579" s="40"/>
    </row>
    <row r="580">
      <c r="A580" s="39"/>
      <c r="K580" s="40"/>
    </row>
    <row r="581">
      <c r="A581" s="39"/>
      <c r="K581" s="40"/>
    </row>
    <row r="582">
      <c r="A582" s="39"/>
      <c r="K582" s="40"/>
    </row>
    <row r="583">
      <c r="A583" s="39"/>
      <c r="K583" s="40"/>
    </row>
    <row r="584">
      <c r="A584" s="39"/>
      <c r="K584" s="40"/>
    </row>
    <row r="585">
      <c r="A585" s="39"/>
      <c r="K585" s="40"/>
    </row>
    <row r="586">
      <c r="A586" s="39"/>
      <c r="K586" s="40"/>
    </row>
    <row r="587">
      <c r="A587" s="39"/>
      <c r="K587" s="40"/>
    </row>
    <row r="588">
      <c r="A588" s="39"/>
      <c r="K588" s="40"/>
    </row>
    <row r="589">
      <c r="A589" s="39"/>
      <c r="K589" s="40"/>
    </row>
    <row r="590">
      <c r="A590" s="39"/>
      <c r="K590" s="40"/>
    </row>
    <row r="591">
      <c r="A591" s="39"/>
      <c r="K591" s="40"/>
    </row>
    <row r="592">
      <c r="A592" s="39"/>
      <c r="K592" s="40"/>
    </row>
    <row r="593">
      <c r="A593" s="39"/>
      <c r="K593" s="40"/>
    </row>
    <row r="594">
      <c r="A594" s="39"/>
      <c r="K594" s="40"/>
    </row>
    <row r="595">
      <c r="A595" s="39"/>
      <c r="K595" s="40"/>
    </row>
    <row r="596">
      <c r="A596" s="39"/>
      <c r="K596" s="40"/>
    </row>
    <row r="597">
      <c r="A597" s="39"/>
      <c r="K597" s="40"/>
    </row>
    <row r="598">
      <c r="A598" s="39"/>
      <c r="K598" s="40"/>
    </row>
    <row r="599">
      <c r="A599" s="39"/>
      <c r="K599" s="40"/>
    </row>
    <row r="600">
      <c r="A600" s="39"/>
      <c r="K600" s="40"/>
    </row>
    <row r="601">
      <c r="A601" s="39"/>
      <c r="K601" s="40"/>
    </row>
    <row r="602">
      <c r="A602" s="39"/>
      <c r="K602" s="40"/>
    </row>
    <row r="603">
      <c r="A603" s="39"/>
      <c r="K603" s="40"/>
    </row>
    <row r="604">
      <c r="A604" s="39"/>
      <c r="K604" s="40"/>
    </row>
    <row r="605">
      <c r="A605" s="39"/>
      <c r="K605" s="40"/>
    </row>
    <row r="606">
      <c r="A606" s="39"/>
      <c r="K606" s="40"/>
    </row>
    <row r="607">
      <c r="A607" s="39"/>
      <c r="K607" s="40"/>
    </row>
    <row r="608">
      <c r="A608" s="39"/>
      <c r="K608" s="40"/>
    </row>
    <row r="609">
      <c r="A609" s="39"/>
      <c r="K609" s="40"/>
    </row>
    <row r="610">
      <c r="A610" s="39"/>
      <c r="K610" s="40"/>
    </row>
    <row r="611">
      <c r="A611" s="39"/>
      <c r="K611" s="40"/>
    </row>
    <row r="612">
      <c r="A612" s="39"/>
      <c r="K612" s="40"/>
    </row>
    <row r="613">
      <c r="A613" s="39"/>
      <c r="K613" s="40"/>
    </row>
    <row r="614">
      <c r="A614" s="39"/>
      <c r="K614" s="40"/>
    </row>
    <row r="615">
      <c r="A615" s="39"/>
      <c r="K615" s="40"/>
    </row>
    <row r="616">
      <c r="A616" s="39"/>
      <c r="K616" s="40"/>
    </row>
    <row r="617">
      <c r="A617" s="39"/>
      <c r="K617" s="40"/>
    </row>
    <row r="618">
      <c r="A618" s="39"/>
      <c r="K618" s="40"/>
    </row>
    <row r="619">
      <c r="A619" s="39"/>
      <c r="K619" s="40"/>
    </row>
    <row r="620">
      <c r="A620" s="39"/>
      <c r="K620" s="40"/>
    </row>
    <row r="621">
      <c r="A621" s="39"/>
      <c r="K621" s="40"/>
    </row>
    <row r="622">
      <c r="A622" s="39"/>
      <c r="K622" s="40"/>
    </row>
    <row r="623">
      <c r="A623" s="39"/>
      <c r="K623" s="40"/>
    </row>
    <row r="624">
      <c r="A624" s="39"/>
      <c r="K624" s="40"/>
    </row>
    <row r="625">
      <c r="A625" s="39"/>
      <c r="K625" s="40"/>
    </row>
    <row r="626">
      <c r="A626" s="39"/>
      <c r="K626" s="40"/>
    </row>
    <row r="627">
      <c r="A627" s="39"/>
      <c r="K627" s="40"/>
    </row>
    <row r="628">
      <c r="A628" s="39"/>
      <c r="K628" s="40"/>
    </row>
    <row r="629">
      <c r="A629" s="39"/>
      <c r="K629" s="40"/>
    </row>
    <row r="630">
      <c r="A630" s="39"/>
      <c r="K630" s="40"/>
    </row>
    <row r="631">
      <c r="A631" s="39"/>
      <c r="K631" s="40"/>
    </row>
    <row r="632">
      <c r="A632" s="39"/>
      <c r="K632" s="40"/>
    </row>
    <row r="633">
      <c r="A633" s="39"/>
      <c r="K633" s="40"/>
    </row>
    <row r="634">
      <c r="A634" s="39"/>
      <c r="K634" s="40"/>
    </row>
    <row r="635">
      <c r="A635" s="39"/>
      <c r="K635" s="40"/>
    </row>
    <row r="636">
      <c r="A636" s="39"/>
      <c r="K636" s="40"/>
    </row>
    <row r="637">
      <c r="A637" s="39"/>
      <c r="K637" s="40"/>
    </row>
    <row r="638">
      <c r="A638" s="39"/>
      <c r="K638" s="40"/>
    </row>
    <row r="639">
      <c r="A639" s="39"/>
      <c r="K639" s="40"/>
    </row>
    <row r="640">
      <c r="A640" s="39"/>
      <c r="K640" s="40"/>
    </row>
    <row r="641">
      <c r="A641" s="39"/>
      <c r="K641" s="40"/>
    </row>
    <row r="642">
      <c r="A642" s="39"/>
      <c r="K642" s="40"/>
    </row>
    <row r="643">
      <c r="A643" s="39"/>
      <c r="K643" s="40"/>
    </row>
    <row r="644">
      <c r="A644" s="39"/>
      <c r="K644" s="40"/>
    </row>
    <row r="645">
      <c r="A645" s="39"/>
      <c r="K645" s="40"/>
    </row>
    <row r="646">
      <c r="A646" s="39"/>
      <c r="K646" s="40"/>
    </row>
    <row r="647">
      <c r="A647" s="39"/>
      <c r="K647" s="40"/>
    </row>
    <row r="648">
      <c r="A648" s="39"/>
      <c r="K648" s="40"/>
    </row>
    <row r="649">
      <c r="A649" s="39"/>
      <c r="K649" s="40"/>
    </row>
    <row r="650">
      <c r="A650" s="39"/>
      <c r="K650" s="40"/>
    </row>
    <row r="651">
      <c r="A651" s="39"/>
      <c r="K651" s="40"/>
    </row>
    <row r="652">
      <c r="A652" s="39"/>
      <c r="K652" s="40"/>
    </row>
    <row r="653">
      <c r="A653" s="39"/>
      <c r="K653" s="40"/>
    </row>
    <row r="654">
      <c r="A654" s="39"/>
      <c r="K654" s="40"/>
    </row>
    <row r="655">
      <c r="A655" s="39"/>
      <c r="K655" s="40"/>
    </row>
    <row r="656">
      <c r="A656" s="39"/>
      <c r="K656" s="40"/>
    </row>
    <row r="657">
      <c r="A657" s="39"/>
      <c r="K657" s="40"/>
    </row>
    <row r="658">
      <c r="A658" s="39"/>
      <c r="K658" s="40"/>
    </row>
    <row r="659">
      <c r="A659" s="39"/>
      <c r="K659" s="40"/>
    </row>
    <row r="660">
      <c r="A660" s="39"/>
      <c r="K660" s="40"/>
    </row>
    <row r="661">
      <c r="A661" s="39"/>
      <c r="K661" s="40"/>
    </row>
    <row r="662">
      <c r="A662" s="39"/>
      <c r="K662" s="40"/>
    </row>
    <row r="663">
      <c r="A663" s="39"/>
      <c r="K663" s="40"/>
    </row>
    <row r="664">
      <c r="A664" s="39"/>
      <c r="K664" s="40"/>
    </row>
    <row r="665">
      <c r="A665" s="39"/>
      <c r="K665" s="40"/>
    </row>
    <row r="666">
      <c r="A666" s="39"/>
      <c r="K666" s="40"/>
    </row>
    <row r="667">
      <c r="A667" s="39"/>
      <c r="K667" s="40"/>
    </row>
    <row r="668">
      <c r="A668" s="39"/>
      <c r="K668" s="40"/>
    </row>
    <row r="669">
      <c r="A669" s="39"/>
      <c r="K669" s="40"/>
    </row>
    <row r="670">
      <c r="A670" s="39"/>
      <c r="K670" s="40"/>
    </row>
    <row r="671">
      <c r="A671" s="39"/>
      <c r="K671" s="40"/>
    </row>
    <row r="672">
      <c r="A672" s="39"/>
      <c r="K672" s="40"/>
    </row>
    <row r="673">
      <c r="A673" s="39"/>
      <c r="K673" s="40"/>
    </row>
    <row r="674">
      <c r="A674" s="39"/>
      <c r="K674" s="40"/>
    </row>
    <row r="675">
      <c r="A675" s="39"/>
      <c r="K675" s="40"/>
    </row>
    <row r="676">
      <c r="A676" s="39"/>
      <c r="K676" s="40"/>
    </row>
    <row r="677">
      <c r="A677" s="39"/>
      <c r="K677" s="40"/>
    </row>
    <row r="678">
      <c r="A678" s="39"/>
      <c r="K678" s="40"/>
    </row>
    <row r="679">
      <c r="A679" s="39"/>
      <c r="K679" s="40"/>
    </row>
    <row r="680">
      <c r="A680" s="39"/>
      <c r="K680" s="40"/>
    </row>
    <row r="681">
      <c r="A681" s="39"/>
      <c r="K681" s="40"/>
    </row>
    <row r="682">
      <c r="A682" s="39"/>
      <c r="K682" s="40"/>
    </row>
    <row r="683">
      <c r="A683" s="39"/>
      <c r="K683" s="40"/>
    </row>
    <row r="684">
      <c r="A684" s="39"/>
      <c r="K684" s="40"/>
    </row>
    <row r="685">
      <c r="A685" s="39"/>
      <c r="K685" s="40"/>
    </row>
    <row r="686">
      <c r="A686" s="39"/>
      <c r="K686" s="40"/>
    </row>
    <row r="687">
      <c r="A687" s="39"/>
      <c r="K687" s="40"/>
    </row>
    <row r="688">
      <c r="A688" s="39"/>
      <c r="K688" s="40"/>
    </row>
    <row r="689">
      <c r="A689" s="39"/>
      <c r="K689" s="40"/>
    </row>
    <row r="690">
      <c r="A690" s="39"/>
      <c r="K690" s="40"/>
    </row>
    <row r="691">
      <c r="A691" s="39"/>
      <c r="K691" s="40"/>
    </row>
    <row r="692">
      <c r="A692" s="39"/>
      <c r="K692" s="40"/>
    </row>
    <row r="693">
      <c r="A693" s="39"/>
      <c r="K693" s="40"/>
    </row>
    <row r="694">
      <c r="A694" s="39"/>
      <c r="K694" s="40"/>
    </row>
    <row r="695">
      <c r="A695" s="39"/>
      <c r="K695" s="40"/>
    </row>
    <row r="696">
      <c r="A696" s="39"/>
      <c r="K696" s="40"/>
    </row>
    <row r="697">
      <c r="A697" s="39"/>
      <c r="K697" s="40"/>
    </row>
    <row r="698">
      <c r="A698" s="39"/>
      <c r="K698" s="40"/>
    </row>
    <row r="699">
      <c r="A699" s="39"/>
      <c r="K699" s="40"/>
    </row>
    <row r="700">
      <c r="A700" s="39"/>
      <c r="K700" s="40"/>
    </row>
    <row r="701">
      <c r="A701" s="39"/>
      <c r="K701" s="40"/>
    </row>
    <row r="702">
      <c r="A702" s="39"/>
      <c r="K702" s="40"/>
    </row>
    <row r="703">
      <c r="A703" s="39"/>
      <c r="K703" s="40"/>
    </row>
    <row r="704">
      <c r="A704" s="39"/>
      <c r="K704" s="40"/>
    </row>
    <row r="705">
      <c r="A705" s="39"/>
      <c r="K705" s="40"/>
    </row>
    <row r="706">
      <c r="A706" s="39"/>
      <c r="K706" s="40"/>
    </row>
    <row r="707">
      <c r="A707" s="39"/>
      <c r="K707" s="40"/>
    </row>
    <row r="708">
      <c r="A708" s="39"/>
      <c r="K708" s="40"/>
    </row>
    <row r="709">
      <c r="A709" s="39"/>
      <c r="K709" s="40"/>
    </row>
    <row r="710">
      <c r="A710" s="39"/>
      <c r="K710" s="40"/>
    </row>
    <row r="711">
      <c r="A711" s="39"/>
      <c r="K711" s="40"/>
    </row>
    <row r="712">
      <c r="A712" s="39"/>
      <c r="K712" s="40"/>
    </row>
    <row r="713">
      <c r="A713" s="39"/>
      <c r="K713" s="40"/>
    </row>
    <row r="714">
      <c r="A714" s="39"/>
      <c r="K714" s="40"/>
    </row>
    <row r="715">
      <c r="A715" s="39"/>
      <c r="K715" s="40"/>
    </row>
    <row r="716">
      <c r="A716" s="39"/>
      <c r="K716" s="40"/>
    </row>
    <row r="717">
      <c r="A717" s="39"/>
      <c r="K717" s="40"/>
    </row>
    <row r="718">
      <c r="A718" s="39"/>
      <c r="K718" s="40"/>
    </row>
    <row r="719">
      <c r="A719" s="39"/>
      <c r="K719" s="40"/>
    </row>
    <row r="720">
      <c r="A720" s="39"/>
      <c r="K720" s="40"/>
    </row>
    <row r="721">
      <c r="A721" s="39"/>
      <c r="K721" s="40"/>
    </row>
    <row r="722">
      <c r="A722" s="39"/>
      <c r="K722" s="40"/>
    </row>
    <row r="723">
      <c r="A723" s="39"/>
      <c r="K723" s="40"/>
    </row>
    <row r="724">
      <c r="A724" s="39"/>
      <c r="K724" s="40"/>
    </row>
    <row r="725">
      <c r="A725" s="39"/>
      <c r="K725" s="40"/>
    </row>
    <row r="726">
      <c r="A726" s="39"/>
      <c r="K726" s="40"/>
    </row>
    <row r="727">
      <c r="A727" s="39"/>
      <c r="K727" s="40"/>
    </row>
    <row r="728">
      <c r="A728" s="39"/>
      <c r="K728" s="40"/>
    </row>
    <row r="729">
      <c r="A729" s="39"/>
      <c r="K729" s="40"/>
    </row>
    <row r="730">
      <c r="A730" s="39"/>
      <c r="K730" s="40"/>
    </row>
    <row r="731">
      <c r="A731" s="39"/>
      <c r="K731" s="40"/>
    </row>
    <row r="732">
      <c r="A732" s="39"/>
      <c r="K732" s="40"/>
    </row>
    <row r="733">
      <c r="A733" s="39"/>
      <c r="K733" s="40"/>
    </row>
    <row r="734">
      <c r="A734" s="39"/>
      <c r="K734" s="40"/>
    </row>
    <row r="735">
      <c r="A735" s="39"/>
      <c r="K735" s="40"/>
    </row>
    <row r="736">
      <c r="A736" s="39"/>
      <c r="K736" s="40"/>
    </row>
    <row r="737">
      <c r="A737" s="39"/>
      <c r="K737" s="40"/>
    </row>
    <row r="738">
      <c r="A738" s="39"/>
      <c r="K738" s="40"/>
    </row>
    <row r="739">
      <c r="A739" s="39"/>
      <c r="K739" s="40"/>
    </row>
    <row r="740">
      <c r="A740" s="39"/>
      <c r="K740" s="40"/>
    </row>
    <row r="741">
      <c r="A741" s="39"/>
      <c r="K741" s="40"/>
    </row>
    <row r="742">
      <c r="A742" s="39"/>
      <c r="K742" s="40"/>
    </row>
    <row r="743">
      <c r="A743" s="39"/>
      <c r="K743" s="40"/>
    </row>
    <row r="744">
      <c r="A744" s="39"/>
      <c r="K744" s="40"/>
    </row>
    <row r="745">
      <c r="A745" s="39"/>
      <c r="K745" s="40"/>
    </row>
    <row r="746">
      <c r="A746" s="39"/>
      <c r="K746" s="40"/>
    </row>
    <row r="747">
      <c r="A747" s="39"/>
      <c r="K747" s="40"/>
    </row>
    <row r="748">
      <c r="A748" s="39"/>
      <c r="K748" s="40"/>
    </row>
    <row r="749">
      <c r="A749" s="39"/>
      <c r="K749" s="40"/>
    </row>
    <row r="750">
      <c r="A750" s="39"/>
      <c r="K750" s="40"/>
    </row>
    <row r="751">
      <c r="A751" s="39"/>
      <c r="K751" s="40"/>
    </row>
    <row r="752">
      <c r="A752" s="39"/>
      <c r="K752" s="40"/>
    </row>
    <row r="753">
      <c r="A753" s="39"/>
      <c r="K753" s="40"/>
    </row>
    <row r="754">
      <c r="A754" s="39"/>
      <c r="K754" s="40"/>
    </row>
    <row r="755">
      <c r="A755" s="39"/>
      <c r="K755" s="40"/>
    </row>
    <row r="756">
      <c r="A756" s="39"/>
      <c r="K756" s="40"/>
    </row>
    <row r="757">
      <c r="A757" s="39"/>
      <c r="K757" s="40"/>
    </row>
    <row r="758">
      <c r="A758" s="39"/>
      <c r="K758" s="40"/>
    </row>
    <row r="759">
      <c r="A759" s="39"/>
      <c r="K759" s="40"/>
    </row>
    <row r="760">
      <c r="A760" s="39"/>
      <c r="K760" s="40"/>
    </row>
    <row r="761">
      <c r="A761" s="39"/>
      <c r="K761" s="40"/>
    </row>
    <row r="762">
      <c r="A762" s="39"/>
      <c r="K762" s="40"/>
    </row>
    <row r="763">
      <c r="A763" s="39"/>
      <c r="K763" s="40"/>
    </row>
    <row r="764">
      <c r="A764" s="39"/>
      <c r="K764" s="40"/>
    </row>
    <row r="765">
      <c r="A765" s="39"/>
      <c r="K765" s="40"/>
    </row>
    <row r="766">
      <c r="A766" s="39"/>
      <c r="K766" s="40"/>
    </row>
    <row r="767">
      <c r="A767" s="39"/>
      <c r="K767" s="40"/>
    </row>
    <row r="768">
      <c r="A768" s="39"/>
      <c r="K768" s="40"/>
    </row>
    <row r="769">
      <c r="A769" s="39"/>
      <c r="K769" s="40"/>
    </row>
    <row r="770">
      <c r="A770" s="39"/>
      <c r="K770" s="40"/>
    </row>
    <row r="771">
      <c r="A771" s="39"/>
      <c r="K771" s="40"/>
    </row>
    <row r="772">
      <c r="A772" s="39"/>
      <c r="K772" s="40"/>
    </row>
    <row r="773">
      <c r="A773" s="39"/>
      <c r="K773" s="40"/>
    </row>
    <row r="774">
      <c r="A774" s="39"/>
      <c r="K774" s="40"/>
    </row>
    <row r="775">
      <c r="A775" s="39"/>
      <c r="K775" s="40"/>
    </row>
    <row r="776">
      <c r="A776" s="39"/>
      <c r="K776" s="40"/>
    </row>
    <row r="777">
      <c r="A777" s="39"/>
      <c r="K777" s="40"/>
    </row>
    <row r="778">
      <c r="A778" s="39"/>
      <c r="K778" s="40"/>
    </row>
    <row r="779">
      <c r="A779" s="39"/>
      <c r="K779" s="40"/>
    </row>
    <row r="780">
      <c r="A780" s="39"/>
      <c r="K780" s="40"/>
    </row>
    <row r="781">
      <c r="A781" s="39"/>
      <c r="K781" s="40"/>
    </row>
    <row r="782">
      <c r="A782" s="39"/>
      <c r="K782" s="40"/>
    </row>
    <row r="783">
      <c r="A783" s="39"/>
      <c r="K783" s="40"/>
    </row>
    <row r="784">
      <c r="A784" s="39"/>
      <c r="K784" s="40"/>
    </row>
    <row r="785">
      <c r="A785" s="39"/>
      <c r="K785" s="40"/>
    </row>
    <row r="786">
      <c r="A786" s="39"/>
      <c r="K786" s="40"/>
    </row>
    <row r="787">
      <c r="A787" s="39"/>
      <c r="K787" s="40"/>
    </row>
    <row r="788">
      <c r="A788" s="39"/>
      <c r="K788" s="40"/>
    </row>
    <row r="789">
      <c r="A789" s="39"/>
      <c r="K789" s="40"/>
    </row>
    <row r="790">
      <c r="A790" s="39"/>
      <c r="K790" s="40"/>
    </row>
    <row r="791">
      <c r="A791" s="39"/>
      <c r="K791" s="40"/>
    </row>
    <row r="792">
      <c r="A792" s="39"/>
      <c r="K792" s="40"/>
    </row>
    <row r="793">
      <c r="A793" s="39"/>
      <c r="K793" s="40"/>
    </row>
    <row r="794">
      <c r="A794" s="39"/>
      <c r="K794" s="40"/>
    </row>
    <row r="795">
      <c r="A795" s="39"/>
      <c r="K795" s="40"/>
    </row>
    <row r="796">
      <c r="A796" s="39"/>
      <c r="K796" s="40"/>
    </row>
    <row r="797">
      <c r="A797" s="39"/>
      <c r="K797" s="40"/>
    </row>
    <row r="798">
      <c r="A798" s="39"/>
      <c r="K798" s="40"/>
    </row>
    <row r="799">
      <c r="A799" s="39"/>
      <c r="K799" s="40"/>
    </row>
    <row r="800">
      <c r="A800" s="39"/>
      <c r="K800" s="40"/>
    </row>
    <row r="801">
      <c r="A801" s="39"/>
      <c r="K801" s="40"/>
    </row>
    <row r="802">
      <c r="A802" s="39"/>
      <c r="K802" s="40"/>
    </row>
    <row r="803">
      <c r="A803" s="39"/>
      <c r="K803" s="40"/>
    </row>
    <row r="804">
      <c r="A804" s="39"/>
      <c r="K804" s="40"/>
    </row>
    <row r="805">
      <c r="A805" s="39"/>
      <c r="K805" s="40"/>
    </row>
    <row r="806">
      <c r="A806" s="39"/>
      <c r="K806" s="40"/>
    </row>
    <row r="807">
      <c r="A807" s="39"/>
      <c r="K807" s="40"/>
    </row>
    <row r="808">
      <c r="A808" s="39"/>
      <c r="K808" s="40"/>
    </row>
    <row r="809">
      <c r="A809" s="39"/>
      <c r="K809" s="40"/>
    </row>
    <row r="810">
      <c r="A810" s="39"/>
      <c r="K810" s="40"/>
    </row>
    <row r="811">
      <c r="A811" s="39"/>
      <c r="K811" s="40"/>
    </row>
    <row r="812">
      <c r="A812" s="39"/>
      <c r="K812" s="40"/>
    </row>
    <row r="813">
      <c r="A813" s="39"/>
      <c r="K813" s="40"/>
    </row>
    <row r="814">
      <c r="A814" s="39"/>
      <c r="K814" s="40"/>
    </row>
    <row r="815">
      <c r="A815" s="39"/>
      <c r="K815" s="40"/>
    </row>
    <row r="816">
      <c r="A816" s="39"/>
      <c r="K816" s="40"/>
    </row>
    <row r="817">
      <c r="A817" s="39"/>
      <c r="K817" s="40"/>
    </row>
    <row r="818">
      <c r="A818" s="39"/>
      <c r="K818" s="40"/>
    </row>
    <row r="819">
      <c r="A819" s="39"/>
      <c r="K819" s="40"/>
    </row>
    <row r="820">
      <c r="A820" s="39"/>
      <c r="K820" s="40"/>
    </row>
    <row r="821">
      <c r="A821" s="39"/>
      <c r="K821" s="40"/>
    </row>
    <row r="822">
      <c r="A822" s="39"/>
      <c r="K822" s="40"/>
    </row>
    <row r="823">
      <c r="A823" s="39"/>
      <c r="K823" s="40"/>
    </row>
    <row r="824">
      <c r="A824" s="39"/>
      <c r="K824" s="40"/>
    </row>
    <row r="825">
      <c r="A825" s="39"/>
      <c r="K825" s="40"/>
    </row>
    <row r="826">
      <c r="A826" s="39"/>
      <c r="K826" s="40"/>
    </row>
    <row r="827">
      <c r="A827" s="39"/>
      <c r="K827" s="40"/>
    </row>
    <row r="828">
      <c r="A828" s="39"/>
      <c r="K828" s="40"/>
    </row>
    <row r="829">
      <c r="A829" s="39"/>
      <c r="K829" s="40"/>
    </row>
    <row r="830">
      <c r="A830" s="39"/>
      <c r="K830" s="40"/>
    </row>
    <row r="831">
      <c r="A831" s="39"/>
      <c r="K831" s="40"/>
    </row>
    <row r="832">
      <c r="A832" s="39"/>
      <c r="K832" s="40"/>
    </row>
    <row r="833">
      <c r="A833" s="39"/>
      <c r="K833" s="40"/>
    </row>
    <row r="834">
      <c r="A834" s="39"/>
      <c r="K834" s="40"/>
    </row>
    <row r="835">
      <c r="A835" s="39"/>
      <c r="K835" s="40"/>
    </row>
    <row r="836">
      <c r="A836" s="39"/>
      <c r="K836" s="40"/>
    </row>
    <row r="837">
      <c r="A837" s="39"/>
      <c r="K837" s="40"/>
    </row>
    <row r="838">
      <c r="A838" s="39"/>
      <c r="K838" s="40"/>
    </row>
    <row r="839">
      <c r="A839" s="39"/>
      <c r="K839" s="40"/>
    </row>
    <row r="840">
      <c r="A840" s="39"/>
      <c r="K840" s="40"/>
    </row>
    <row r="841">
      <c r="A841" s="39"/>
      <c r="K841" s="40"/>
    </row>
    <row r="842">
      <c r="A842" s="39"/>
      <c r="K842" s="40"/>
    </row>
    <row r="843">
      <c r="A843" s="39"/>
      <c r="K843" s="40"/>
    </row>
    <row r="844">
      <c r="A844" s="39"/>
      <c r="K844" s="40"/>
    </row>
    <row r="845">
      <c r="A845" s="39"/>
      <c r="K845" s="40"/>
    </row>
    <row r="846">
      <c r="A846" s="39"/>
      <c r="K846" s="40"/>
    </row>
    <row r="847">
      <c r="A847" s="39"/>
      <c r="K847" s="40"/>
    </row>
    <row r="848">
      <c r="A848" s="39"/>
      <c r="K848" s="40"/>
    </row>
    <row r="849">
      <c r="A849" s="39"/>
      <c r="K849" s="40"/>
    </row>
    <row r="850">
      <c r="A850" s="39"/>
      <c r="K850" s="40"/>
    </row>
    <row r="851">
      <c r="A851" s="39"/>
      <c r="K851" s="40"/>
    </row>
    <row r="852">
      <c r="A852" s="39"/>
      <c r="K852" s="40"/>
    </row>
    <row r="853">
      <c r="A853" s="39"/>
      <c r="K853" s="40"/>
    </row>
    <row r="854">
      <c r="A854" s="39"/>
      <c r="K854" s="40"/>
    </row>
    <row r="855">
      <c r="A855" s="39"/>
      <c r="K855" s="40"/>
    </row>
    <row r="856">
      <c r="A856" s="39"/>
      <c r="K856" s="40"/>
    </row>
    <row r="857">
      <c r="A857" s="39"/>
      <c r="K857" s="40"/>
    </row>
    <row r="858">
      <c r="A858" s="39"/>
      <c r="K858" s="40"/>
    </row>
    <row r="859">
      <c r="A859" s="39"/>
      <c r="K859" s="40"/>
    </row>
    <row r="860">
      <c r="A860" s="39"/>
      <c r="K860" s="40"/>
    </row>
    <row r="861">
      <c r="A861" s="39"/>
      <c r="K861" s="40"/>
    </row>
    <row r="862">
      <c r="A862" s="39"/>
      <c r="K862" s="40"/>
    </row>
    <row r="863">
      <c r="A863" s="39"/>
      <c r="K863" s="40"/>
    </row>
    <row r="864">
      <c r="A864" s="39"/>
      <c r="K864" s="40"/>
    </row>
    <row r="865">
      <c r="A865" s="39"/>
      <c r="K865" s="40"/>
    </row>
    <row r="866">
      <c r="A866" s="39"/>
      <c r="K866" s="40"/>
    </row>
    <row r="867">
      <c r="A867" s="39"/>
      <c r="K867" s="40"/>
    </row>
    <row r="868">
      <c r="A868" s="39"/>
      <c r="K868" s="40"/>
    </row>
    <row r="869">
      <c r="A869" s="39"/>
      <c r="K869" s="40"/>
    </row>
    <row r="870">
      <c r="A870" s="39"/>
      <c r="K870" s="40"/>
    </row>
    <row r="871">
      <c r="A871" s="39"/>
      <c r="K871" s="40"/>
    </row>
    <row r="872">
      <c r="A872" s="39"/>
      <c r="K872" s="40"/>
    </row>
    <row r="873">
      <c r="A873" s="39"/>
      <c r="K873" s="40"/>
    </row>
    <row r="874">
      <c r="A874" s="39"/>
      <c r="K874" s="40"/>
    </row>
    <row r="875">
      <c r="A875" s="39"/>
      <c r="K875" s="40"/>
    </row>
    <row r="876">
      <c r="A876" s="39"/>
      <c r="K876" s="40"/>
    </row>
    <row r="877">
      <c r="A877" s="39"/>
      <c r="K877" s="40"/>
    </row>
    <row r="878">
      <c r="A878" s="39"/>
      <c r="K878" s="40"/>
    </row>
    <row r="879">
      <c r="A879" s="39"/>
      <c r="K879" s="40"/>
    </row>
    <row r="880">
      <c r="A880" s="39"/>
      <c r="K880" s="40"/>
    </row>
    <row r="881">
      <c r="A881" s="39"/>
      <c r="K881" s="40"/>
    </row>
    <row r="882">
      <c r="A882" s="39"/>
      <c r="K882" s="40"/>
    </row>
    <row r="883">
      <c r="A883" s="39"/>
      <c r="K883" s="40"/>
    </row>
    <row r="884">
      <c r="A884" s="39"/>
      <c r="K884" s="40"/>
    </row>
    <row r="885">
      <c r="A885" s="39"/>
      <c r="K885" s="40"/>
    </row>
    <row r="886">
      <c r="A886" s="39"/>
      <c r="K886" s="40"/>
    </row>
    <row r="887">
      <c r="A887" s="39"/>
      <c r="K887" s="40"/>
    </row>
    <row r="888">
      <c r="A888" s="39"/>
      <c r="K888" s="40"/>
    </row>
    <row r="889">
      <c r="A889" s="39"/>
      <c r="K889" s="40"/>
    </row>
    <row r="890">
      <c r="A890" s="39"/>
      <c r="K890" s="40"/>
    </row>
    <row r="891">
      <c r="A891" s="39"/>
      <c r="K891" s="40"/>
    </row>
    <row r="892">
      <c r="A892" s="39"/>
      <c r="K892" s="40"/>
    </row>
    <row r="893">
      <c r="A893" s="39"/>
      <c r="K893" s="40"/>
    </row>
    <row r="894">
      <c r="A894" s="39"/>
      <c r="K894" s="40"/>
    </row>
    <row r="895">
      <c r="A895" s="39"/>
      <c r="K895" s="40"/>
    </row>
    <row r="896">
      <c r="A896" s="39"/>
      <c r="K896" s="40"/>
    </row>
    <row r="897">
      <c r="A897" s="39"/>
      <c r="K897" s="40"/>
    </row>
    <row r="898">
      <c r="A898" s="39"/>
      <c r="K898" s="40"/>
    </row>
    <row r="899">
      <c r="A899" s="39"/>
      <c r="K899" s="40"/>
    </row>
    <row r="900">
      <c r="A900" s="39"/>
      <c r="K900" s="40"/>
    </row>
    <row r="901">
      <c r="A901" s="39"/>
      <c r="K901" s="40"/>
    </row>
    <row r="902">
      <c r="A902" s="39"/>
      <c r="K902" s="40"/>
    </row>
    <row r="903">
      <c r="A903" s="39"/>
      <c r="K903" s="40"/>
    </row>
    <row r="904">
      <c r="A904" s="39"/>
      <c r="K904" s="40"/>
    </row>
    <row r="905">
      <c r="A905" s="39"/>
      <c r="K905" s="40"/>
    </row>
    <row r="906">
      <c r="A906" s="39"/>
      <c r="K906" s="40"/>
    </row>
    <row r="907">
      <c r="A907" s="39"/>
      <c r="K907" s="40"/>
    </row>
    <row r="908">
      <c r="A908" s="39"/>
      <c r="K908" s="40"/>
    </row>
    <row r="909">
      <c r="A909" s="39"/>
      <c r="K909" s="40"/>
    </row>
    <row r="910">
      <c r="A910" s="39"/>
      <c r="K910" s="40"/>
    </row>
    <row r="911">
      <c r="A911" s="39"/>
      <c r="K911" s="40"/>
    </row>
    <row r="912">
      <c r="A912" s="39"/>
      <c r="K912" s="40"/>
    </row>
    <row r="913">
      <c r="A913" s="39"/>
      <c r="K913" s="40"/>
    </row>
    <row r="914">
      <c r="A914" s="39"/>
      <c r="K914" s="40"/>
    </row>
    <row r="915">
      <c r="A915" s="39"/>
      <c r="K915" s="40"/>
    </row>
    <row r="916">
      <c r="A916" s="39"/>
      <c r="K916" s="40"/>
    </row>
    <row r="917">
      <c r="A917" s="39"/>
      <c r="K917" s="40"/>
    </row>
    <row r="918">
      <c r="A918" s="39"/>
      <c r="K918" s="40"/>
    </row>
    <row r="919">
      <c r="A919" s="39"/>
      <c r="K919" s="40"/>
    </row>
    <row r="920">
      <c r="A920" s="39"/>
      <c r="K920" s="40"/>
    </row>
    <row r="921">
      <c r="A921" s="39"/>
      <c r="K921" s="40"/>
    </row>
    <row r="922">
      <c r="A922" s="39"/>
      <c r="K922" s="40"/>
    </row>
    <row r="923">
      <c r="A923" s="39"/>
      <c r="K923" s="40"/>
    </row>
    <row r="924">
      <c r="A924" s="39"/>
      <c r="K924" s="40"/>
    </row>
    <row r="925">
      <c r="A925" s="39"/>
      <c r="K925" s="40"/>
    </row>
    <row r="926">
      <c r="A926" s="39"/>
      <c r="K926" s="40"/>
    </row>
    <row r="927">
      <c r="A927" s="39"/>
      <c r="K927" s="40"/>
    </row>
    <row r="928">
      <c r="A928" s="39"/>
      <c r="K928" s="40"/>
    </row>
    <row r="929">
      <c r="A929" s="39"/>
      <c r="K929" s="40"/>
    </row>
    <row r="930">
      <c r="A930" s="39"/>
      <c r="K930" s="40"/>
    </row>
    <row r="931">
      <c r="A931" s="39"/>
      <c r="K931" s="40"/>
    </row>
    <row r="932">
      <c r="A932" s="39"/>
      <c r="K932" s="40"/>
    </row>
    <row r="933">
      <c r="A933" s="39"/>
      <c r="K933" s="40"/>
    </row>
    <row r="934">
      <c r="A934" s="39"/>
      <c r="K934" s="40"/>
    </row>
    <row r="935">
      <c r="A935" s="39"/>
      <c r="K935" s="40"/>
    </row>
    <row r="936">
      <c r="A936" s="39"/>
      <c r="K936" s="40"/>
    </row>
    <row r="937">
      <c r="A937" s="39"/>
      <c r="K937" s="40"/>
    </row>
    <row r="938">
      <c r="A938" s="39"/>
      <c r="K938" s="40"/>
    </row>
    <row r="939">
      <c r="A939" s="39"/>
      <c r="K939" s="40"/>
    </row>
    <row r="940">
      <c r="A940" s="39"/>
      <c r="K940" s="40"/>
    </row>
    <row r="941">
      <c r="A941" s="39"/>
      <c r="K941" s="40"/>
    </row>
    <row r="942">
      <c r="A942" s="39"/>
      <c r="K942" s="40"/>
    </row>
    <row r="943">
      <c r="A943" s="39"/>
      <c r="K943" s="40"/>
    </row>
    <row r="944">
      <c r="A944" s="39"/>
      <c r="K944" s="40"/>
    </row>
    <row r="945">
      <c r="A945" s="39"/>
      <c r="K945" s="40"/>
    </row>
    <row r="946">
      <c r="A946" s="39"/>
      <c r="K946" s="40"/>
    </row>
    <row r="947">
      <c r="A947" s="39"/>
      <c r="K947" s="40"/>
    </row>
    <row r="948">
      <c r="A948" s="39"/>
      <c r="K948" s="40"/>
    </row>
    <row r="949">
      <c r="A949" s="39"/>
      <c r="K949" s="40"/>
    </row>
    <row r="950">
      <c r="A950" s="39"/>
      <c r="K950" s="40"/>
    </row>
    <row r="951">
      <c r="A951" s="39"/>
      <c r="K951" s="40"/>
    </row>
    <row r="952">
      <c r="A952" s="39"/>
      <c r="K952" s="40"/>
    </row>
    <row r="953">
      <c r="A953" s="39"/>
      <c r="K953" s="40"/>
    </row>
    <row r="954">
      <c r="A954" s="39"/>
      <c r="K954" s="40"/>
    </row>
    <row r="955">
      <c r="A955" s="39"/>
      <c r="K955" s="40"/>
    </row>
    <row r="956">
      <c r="A956" s="39"/>
      <c r="K956" s="40"/>
    </row>
    <row r="957">
      <c r="A957" s="39"/>
      <c r="K957" s="40"/>
    </row>
    <row r="958">
      <c r="A958" s="39"/>
      <c r="K958" s="40"/>
    </row>
    <row r="959">
      <c r="A959" s="39"/>
      <c r="K959" s="40"/>
    </row>
    <row r="960">
      <c r="A960" s="39"/>
      <c r="K960" s="40"/>
    </row>
    <row r="961">
      <c r="A961" s="39"/>
      <c r="K961" s="40"/>
    </row>
    <row r="962">
      <c r="A962" s="39"/>
      <c r="K962" s="40"/>
    </row>
    <row r="963">
      <c r="A963" s="39"/>
      <c r="K963" s="40"/>
    </row>
    <row r="964">
      <c r="A964" s="39"/>
      <c r="K964" s="40"/>
    </row>
    <row r="965">
      <c r="A965" s="39"/>
      <c r="K965" s="40"/>
    </row>
    <row r="966">
      <c r="A966" s="39"/>
      <c r="K966" s="40"/>
    </row>
    <row r="967">
      <c r="A967" s="39"/>
      <c r="K967" s="40"/>
    </row>
    <row r="968">
      <c r="A968" s="39"/>
      <c r="K968" s="40"/>
    </row>
    <row r="969">
      <c r="A969" s="39"/>
      <c r="K969" s="40"/>
    </row>
    <row r="970">
      <c r="A970" s="39"/>
      <c r="K970" s="40"/>
    </row>
    <row r="971">
      <c r="A971" s="39"/>
      <c r="K971" s="40"/>
    </row>
    <row r="972">
      <c r="A972" s="39"/>
      <c r="K972" s="40"/>
    </row>
    <row r="973">
      <c r="A973" s="39"/>
      <c r="K973" s="40"/>
    </row>
    <row r="974">
      <c r="A974" s="39"/>
      <c r="K974" s="40"/>
    </row>
    <row r="975">
      <c r="A975" s="39"/>
      <c r="K975" s="40"/>
    </row>
    <row r="976">
      <c r="A976" s="39"/>
      <c r="K976" s="40"/>
    </row>
    <row r="977">
      <c r="A977" s="39"/>
      <c r="K977" s="40"/>
    </row>
    <row r="978">
      <c r="A978" s="39"/>
      <c r="K978" s="40"/>
    </row>
    <row r="979">
      <c r="A979" s="39"/>
      <c r="K979" s="40"/>
    </row>
    <row r="980">
      <c r="A980" s="39"/>
      <c r="K980" s="40"/>
    </row>
    <row r="981">
      <c r="A981" s="39"/>
      <c r="K981" s="40"/>
    </row>
    <row r="982">
      <c r="A982" s="39"/>
      <c r="K982" s="40"/>
    </row>
    <row r="983">
      <c r="A983" s="39"/>
      <c r="K983" s="40"/>
    </row>
    <row r="984">
      <c r="A984" s="39"/>
      <c r="K984" s="40"/>
    </row>
    <row r="985">
      <c r="A985" s="39"/>
      <c r="K985" s="40"/>
    </row>
    <row r="986">
      <c r="A986" s="39"/>
      <c r="K986" s="40"/>
    </row>
    <row r="987">
      <c r="A987" s="39"/>
      <c r="K987" s="40"/>
    </row>
    <row r="988">
      <c r="A988" s="39"/>
      <c r="K988" s="40"/>
    </row>
    <row r="989">
      <c r="A989" s="39"/>
      <c r="K989" s="40"/>
    </row>
    <row r="990">
      <c r="A990" s="39"/>
      <c r="K990" s="40"/>
    </row>
    <row r="991">
      <c r="A991" s="39"/>
      <c r="K991" s="40"/>
    </row>
    <row r="992">
      <c r="A992" s="39"/>
      <c r="K992" s="40"/>
    </row>
    <row r="993">
      <c r="A993" s="39"/>
      <c r="K993" s="40"/>
    </row>
    <row r="994">
      <c r="A994" s="39"/>
      <c r="K994" s="40"/>
    </row>
    <row r="995">
      <c r="A995" s="39"/>
      <c r="K995" s="40"/>
    </row>
    <row r="996">
      <c r="A996" s="39"/>
      <c r="K996" s="40"/>
    </row>
    <row r="997">
      <c r="A997" s="39"/>
      <c r="K997" s="40"/>
    </row>
    <row r="998">
      <c r="A998" s="39"/>
      <c r="K998" s="40"/>
    </row>
    <row r="999">
      <c r="A999" s="39"/>
      <c r="K999" s="40"/>
    </row>
    <row r="1000">
      <c r="A1000" s="39"/>
      <c r="K1000" s="4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36" t="s">
        <v>0</v>
      </c>
      <c r="B1" s="2" t="s">
        <v>861</v>
      </c>
      <c r="C1" s="2" t="s">
        <v>862</v>
      </c>
      <c r="D1" s="2" t="s">
        <v>863</v>
      </c>
      <c r="E1" s="2" t="s">
        <v>844</v>
      </c>
      <c r="F1" s="2" t="s">
        <v>832</v>
      </c>
      <c r="G1" s="2" t="s">
        <v>864</v>
      </c>
      <c r="H1" s="2" t="s">
        <v>865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7"/>
    </row>
    <row r="3">
      <c r="A3" s="37"/>
    </row>
    <row r="4">
      <c r="A4" s="37"/>
    </row>
    <row r="5">
      <c r="A5" s="37"/>
    </row>
    <row r="6">
      <c r="A6" s="37"/>
    </row>
    <row r="7">
      <c r="A7" s="37"/>
    </row>
    <row r="8">
      <c r="A8" s="37"/>
    </row>
    <row r="9">
      <c r="A9" s="37"/>
    </row>
    <row r="10">
      <c r="A10" s="37"/>
    </row>
    <row r="11">
      <c r="A11" s="37"/>
    </row>
    <row r="12">
      <c r="A12" s="37"/>
    </row>
    <row r="13">
      <c r="A13" s="37"/>
    </row>
    <row r="14">
      <c r="A14" s="37"/>
    </row>
    <row r="15">
      <c r="A15" s="37"/>
    </row>
    <row r="16">
      <c r="A16" s="37"/>
    </row>
    <row r="17">
      <c r="A17" s="37"/>
    </row>
    <row r="18">
      <c r="A18" s="37"/>
    </row>
    <row r="19">
      <c r="A19" s="37"/>
    </row>
    <row r="20">
      <c r="A20" s="37"/>
    </row>
    <row r="21">
      <c r="A21" s="37"/>
    </row>
    <row r="22">
      <c r="A22" s="37"/>
    </row>
    <row r="23">
      <c r="A23" s="37"/>
    </row>
    <row r="24">
      <c r="A24" s="37"/>
    </row>
    <row r="25">
      <c r="A25" s="37"/>
    </row>
    <row r="26">
      <c r="A26" s="37"/>
    </row>
    <row r="27">
      <c r="A27" s="37"/>
    </row>
    <row r="28">
      <c r="A28" s="37"/>
    </row>
    <row r="29">
      <c r="A29" s="37"/>
    </row>
    <row r="30">
      <c r="A30" s="37"/>
    </row>
    <row r="31">
      <c r="A31" s="37"/>
    </row>
    <row r="32">
      <c r="A32" s="37"/>
    </row>
    <row r="33">
      <c r="A33" s="37"/>
    </row>
    <row r="34">
      <c r="A34" s="37"/>
    </row>
    <row r="35">
      <c r="A35" s="37"/>
    </row>
    <row r="36">
      <c r="A36" s="37"/>
    </row>
    <row r="37">
      <c r="A37" s="37"/>
    </row>
    <row r="38">
      <c r="A38" s="37"/>
    </row>
    <row r="39">
      <c r="A39" s="37"/>
    </row>
    <row r="40">
      <c r="A40" s="37"/>
    </row>
    <row r="41">
      <c r="A41" s="37"/>
    </row>
    <row r="42">
      <c r="A42" s="37"/>
    </row>
    <row r="43">
      <c r="A43" s="37"/>
    </row>
    <row r="44">
      <c r="A44" s="37"/>
    </row>
    <row r="45">
      <c r="A45" s="37"/>
    </row>
    <row r="46">
      <c r="A46" s="37"/>
    </row>
    <row r="47">
      <c r="A47" s="37"/>
    </row>
    <row r="48">
      <c r="A48" s="37"/>
    </row>
    <row r="49">
      <c r="A49" s="37"/>
    </row>
    <row r="50">
      <c r="A50" s="37"/>
    </row>
    <row r="51">
      <c r="A51" s="37"/>
    </row>
    <row r="52">
      <c r="A52" s="37"/>
    </row>
    <row r="53">
      <c r="A53" s="37"/>
    </row>
    <row r="54">
      <c r="A54" s="37"/>
    </row>
    <row r="55">
      <c r="A55" s="37"/>
    </row>
    <row r="56">
      <c r="A56" s="37"/>
    </row>
    <row r="57">
      <c r="A57" s="37"/>
    </row>
    <row r="58">
      <c r="A58" s="37"/>
    </row>
    <row r="59">
      <c r="A59" s="37"/>
    </row>
    <row r="60">
      <c r="A60" s="37"/>
    </row>
    <row r="61">
      <c r="A61" s="37"/>
    </row>
    <row r="62">
      <c r="A62" s="37"/>
    </row>
    <row r="63">
      <c r="A63" s="37"/>
    </row>
    <row r="64">
      <c r="A64" s="37"/>
    </row>
    <row r="65">
      <c r="A65" s="37"/>
    </row>
    <row r="66">
      <c r="A66" s="37"/>
    </row>
    <row r="67">
      <c r="A67" s="37"/>
    </row>
    <row r="68">
      <c r="A68" s="37"/>
    </row>
    <row r="69">
      <c r="A69" s="37"/>
    </row>
    <row r="70">
      <c r="A70" s="37"/>
    </row>
    <row r="71">
      <c r="A71" s="37"/>
    </row>
    <row r="72">
      <c r="A72" s="37"/>
    </row>
    <row r="73">
      <c r="A73" s="37"/>
    </row>
    <row r="74">
      <c r="A74" s="37"/>
    </row>
    <row r="75">
      <c r="A75" s="37"/>
    </row>
    <row r="76">
      <c r="A76" s="37"/>
    </row>
    <row r="77">
      <c r="A77" s="37"/>
    </row>
    <row r="78">
      <c r="A78" s="37"/>
    </row>
    <row r="79">
      <c r="A79" s="37"/>
    </row>
    <row r="80">
      <c r="A80" s="37"/>
    </row>
    <row r="81">
      <c r="A81" s="37"/>
    </row>
    <row r="82">
      <c r="A82" s="37"/>
    </row>
    <row r="83">
      <c r="A83" s="37"/>
    </row>
    <row r="84">
      <c r="A84" s="37"/>
    </row>
    <row r="85">
      <c r="A85" s="37"/>
    </row>
    <row r="86">
      <c r="A86" s="37"/>
    </row>
    <row r="87">
      <c r="A87" s="37"/>
    </row>
    <row r="88">
      <c r="A88" s="37"/>
    </row>
    <row r="89">
      <c r="A89" s="37"/>
    </row>
    <row r="90">
      <c r="A90" s="37"/>
    </row>
    <row r="91">
      <c r="A91" s="37"/>
    </row>
    <row r="92">
      <c r="A92" s="37"/>
    </row>
    <row r="93">
      <c r="A93" s="37"/>
    </row>
    <row r="94">
      <c r="A94" s="37"/>
    </row>
    <row r="95">
      <c r="A95" s="37"/>
    </row>
    <row r="96">
      <c r="A96" s="37"/>
    </row>
    <row r="97">
      <c r="A97" s="37"/>
    </row>
    <row r="98">
      <c r="A98" s="37"/>
    </row>
    <row r="99">
      <c r="A99" s="37"/>
    </row>
    <row r="100">
      <c r="A100" s="37"/>
    </row>
    <row r="101">
      <c r="A101" s="37"/>
    </row>
    <row r="102">
      <c r="A102" s="37"/>
    </row>
    <row r="103">
      <c r="A103" s="37"/>
    </row>
    <row r="104">
      <c r="A104" s="37"/>
    </row>
    <row r="105">
      <c r="A105" s="37"/>
    </row>
    <row r="106">
      <c r="A106" s="37"/>
    </row>
    <row r="107">
      <c r="A107" s="37"/>
    </row>
    <row r="108">
      <c r="A108" s="37"/>
    </row>
    <row r="109">
      <c r="A109" s="37"/>
    </row>
    <row r="110">
      <c r="A110" s="37"/>
    </row>
    <row r="111">
      <c r="A111" s="37"/>
    </row>
    <row r="112">
      <c r="A112" s="37"/>
    </row>
    <row r="113">
      <c r="A113" s="37"/>
    </row>
    <row r="114">
      <c r="A114" s="37"/>
    </row>
    <row r="115">
      <c r="A115" s="37"/>
    </row>
    <row r="116">
      <c r="A116" s="37"/>
    </row>
    <row r="117">
      <c r="A117" s="37"/>
    </row>
    <row r="118">
      <c r="A118" s="37"/>
    </row>
    <row r="119">
      <c r="A119" s="37"/>
    </row>
    <row r="120">
      <c r="A120" s="37"/>
    </row>
    <row r="121">
      <c r="A121" s="37"/>
    </row>
    <row r="122">
      <c r="A122" s="37"/>
    </row>
    <row r="123">
      <c r="A123" s="37"/>
    </row>
    <row r="124">
      <c r="A124" s="37"/>
    </row>
    <row r="125">
      <c r="A125" s="37"/>
    </row>
    <row r="126">
      <c r="A126" s="37"/>
    </row>
    <row r="127">
      <c r="A127" s="37"/>
    </row>
    <row r="128">
      <c r="A128" s="37"/>
    </row>
    <row r="129">
      <c r="A129" s="37"/>
    </row>
    <row r="130">
      <c r="A130" s="37"/>
    </row>
    <row r="131">
      <c r="A131" s="37"/>
    </row>
    <row r="132">
      <c r="A132" s="37"/>
    </row>
    <row r="133">
      <c r="A133" s="37"/>
    </row>
    <row r="134">
      <c r="A134" s="37"/>
    </row>
    <row r="135">
      <c r="A135" s="37"/>
    </row>
    <row r="136">
      <c r="A136" s="37"/>
    </row>
    <row r="137">
      <c r="A137" s="37"/>
    </row>
    <row r="138">
      <c r="A138" s="37"/>
    </row>
    <row r="139">
      <c r="A139" s="37"/>
    </row>
    <row r="140">
      <c r="A140" s="37"/>
    </row>
    <row r="141">
      <c r="A141" s="37"/>
    </row>
    <row r="142">
      <c r="A142" s="37"/>
    </row>
    <row r="143">
      <c r="A143" s="37"/>
    </row>
    <row r="144">
      <c r="A144" s="37"/>
    </row>
    <row r="145">
      <c r="A145" s="37"/>
    </row>
    <row r="146">
      <c r="A146" s="37"/>
    </row>
    <row r="147">
      <c r="A147" s="37"/>
    </row>
    <row r="148">
      <c r="A148" s="37"/>
    </row>
    <row r="149">
      <c r="A149" s="37"/>
    </row>
    <row r="150">
      <c r="A150" s="37"/>
    </row>
    <row r="151">
      <c r="A151" s="37"/>
    </row>
    <row r="152">
      <c r="A152" s="37"/>
    </row>
    <row r="153">
      <c r="A153" s="37"/>
    </row>
    <row r="154">
      <c r="A154" s="37"/>
    </row>
    <row r="155">
      <c r="A155" s="37"/>
    </row>
    <row r="156">
      <c r="A156" s="37"/>
    </row>
    <row r="157">
      <c r="A157" s="37"/>
    </row>
    <row r="158">
      <c r="A158" s="37"/>
    </row>
    <row r="159">
      <c r="A159" s="37"/>
    </row>
    <row r="160">
      <c r="A160" s="37"/>
    </row>
    <row r="161">
      <c r="A161" s="37"/>
    </row>
    <row r="162">
      <c r="A162" s="37"/>
    </row>
    <row r="163">
      <c r="A163" s="37"/>
    </row>
    <row r="164">
      <c r="A164" s="37"/>
    </row>
    <row r="165">
      <c r="A165" s="37"/>
    </row>
    <row r="166">
      <c r="A166" s="37"/>
    </row>
    <row r="167">
      <c r="A167" s="37"/>
    </row>
    <row r="168">
      <c r="A168" s="37"/>
    </row>
    <row r="169">
      <c r="A169" s="37"/>
    </row>
    <row r="170">
      <c r="A170" s="37"/>
    </row>
    <row r="171">
      <c r="A171" s="37"/>
    </row>
    <row r="172">
      <c r="A172" s="37"/>
    </row>
    <row r="173">
      <c r="A173" s="37"/>
    </row>
    <row r="174">
      <c r="A174" s="37"/>
    </row>
    <row r="175">
      <c r="A175" s="37"/>
    </row>
    <row r="176">
      <c r="A176" s="37"/>
    </row>
    <row r="177">
      <c r="A177" s="37"/>
    </row>
    <row r="178">
      <c r="A178" s="37"/>
    </row>
    <row r="179">
      <c r="A179" s="37"/>
    </row>
    <row r="180">
      <c r="A180" s="37"/>
    </row>
    <row r="181">
      <c r="A181" s="37"/>
    </row>
    <row r="182">
      <c r="A182" s="37"/>
    </row>
    <row r="183">
      <c r="A183" s="37"/>
    </row>
    <row r="184">
      <c r="A184" s="37"/>
    </row>
    <row r="185">
      <c r="A185" s="37"/>
    </row>
    <row r="186">
      <c r="A186" s="37"/>
    </row>
    <row r="187">
      <c r="A187" s="37"/>
    </row>
    <row r="188">
      <c r="A188" s="37"/>
    </row>
    <row r="189">
      <c r="A189" s="37"/>
    </row>
    <row r="190">
      <c r="A190" s="37"/>
    </row>
    <row r="191">
      <c r="A191" s="37"/>
    </row>
    <row r="192">
      <c r="A192" s="37"/>
    </row>
    <row r="193">
      <c r="A193" s="37"/>
    </row>
    <row r="194">
      <c r="A194" s="37"/>
    </row>
    <row r="195">
      <c r="A195" s="37"/>
    </row>
    <row r="196">
      <c r="A196" s="37"/>
    </row>
    <row r="197">
      <c r="A197" s="37"/>
    </row>
    <row r="198">
      <c r="A198" s="37"/>
    </row>
    <row r="199">
      <c r="A199" s="37"/>
    </row>
    <row r="200">
      <c r="A200" s="37"/>
    </row>
    <row r="201">
      <c r="A201" s="37"/>
    </row>
    <row r="202">
      <c r="A202" s="37"/>
    </row>
    <row r="203">
      <c r="A203" s="37"/>
    </row>
    <row r="204">
      <c r="A204" s="37"/>
    </row>
    <row r="205">
      <c r="A205" s="37"/>
    </row>
    <row r="206">
      <c r="A206" s="37"/>
    </row>
    <row r="207">
      <c r="A207" s="37"/>
    </row>
    <row r="208">
      <c r="A208" s="37"/>
    </row>
    <row r="209">
      <c r="A209" s="37"/>
    </row>
    <row r="210">
      <c r="A210" s="37"/>
    </row>
    <row r="211">
      <c r="A211" s="37"/>
    </row>
    <row r="212">
      <c r="A212" s="37"/>
    </row>
    <row r="213">
      <c r="A213" s="37"/>
    </row>
    <row r="214">
      <c r="A214" s="37"/>
    </row>
    <row r="215">
      <c r="A215" s="37"/>
    </row>
    <row r="216">
      <c r="A216" s="37"/>
    </row>
    <row r="217">
      <c r="A217" s="37"/>
    </row>
    <row r="218">
      <c r="A218" s="37"/>
    </row>
    <row r="219">
      <c r="A219" s="37"/>
    </row>
    <row r="220">
      <c r="A220" s="37"/>
    </row>
    <row r="221">
      <c r="A221" s="37"/>
    </row>
    <row r="222">
      <c r="A222" s="37"/>
    </row>
    <row r="223">
      <c r="A223" s="37"/>
    </row>
    <row r="224">
      <c r="A224" s="37"/>
    </row>
    <row r="225">
      <c r="A225" s="37"/>
    </row>
    <row r="226">
      <c r="A226" s="37"/>
    </row>
    <row r="227">
      <c r="A227" s="37"/>
    </row>
    <row r="228">
      <c r="A228" s="37"/>
    </row>
    <row r="229">
      <c r="A229" s="37"/>
    </row>
    <row r="230">
      <c r="A230" s="37"/>
    </row>
    <row r="231">
      <c r="A231" s="37"/>
    </row>
    <row r="232">
      <c r="A232" s="37"/>
    </row>
    <row r="233">
      <c r="A233" s="37"/>
    </row>
    <row r="234">
      <c r="A234" s="37"/>
    </row>
    <row r="235">
      <c r="A235" s="37"/>
    </row>
    <row r="236">
      <c r="A236" s="37"/>
    </row>
    <row r="237">
      <c r="A237" s="37"/>
    </row>
    <row r="238">
      <c r="A238" s="37"/>
    </row>
    <row r="239">
      <c r="A239" s="37"/>
    </row>
    <row r="240">
      <c r="A240" s="37"/>
    </row>
    <row r="241">
      <c r="A241" s="37"/>
    </row>
    <row r="242">
      <c r="A242" s="37"/>
    </row>
    <row r="243">
      <c r="A243" s="37"/>
    </row>
    <row r="244">
      <c r="A244" s="37"/>
    </row>
    <row r="245">
      <c r="A245" s="37"/>
    </row>
    <row r="246">
      <c r="A246" s="37"/>
    </row>
    <row r="247">
      <c r="A247" s="37"/>
    </row>
    <row r="248">
      <c r="A248" s="37"/>
    </row>
    <row r="249">
      <c r="A249" s="37"/>
    </row>
    <row r="250">
      <c r="A250" s="37"/>
    </row>
    <row r="251">
      <c r="A251" s="37"/>
    </row>
    <row r="252">
      <c r="A252" s="37"/>
    </row>
    <row r="253">
      <c r="A253" s="37"/>
    </row>
    <row r="254">
      <c r="A254" s="37"/>
    </row>
    <row r="255">
      <c r="A255" s="37"/>
    </row>
    <row r="256">
      <c r="A256" s="37"/>
    </row>
    <row r="257">
      <c r="A257" s="37"/>
    </row>
    <row r="258">
      <c r="A258" s="37"/>
    </row>
    <row r="259">
      <c r="A259" s="37"/>
    </row>
    <row r="260">
      <c r="A260" s="37"/>
    </row>
    <row r="261">
      <c r="A261" s="37"/>
    </row>
    <row r="262">
      <c r="A262" s="37"/>
    </row>
    <row r="263">
      <c r="A263" s="37"/>
    </row>
    <row r="264">
      <c r="A264" s="37"/>
    </row>
    <row r="265">
      <c r="A265" s="37"/>
    </row>
    <row r="266">
      <c r="A266" s="37"/>
    </row>
    <row r="267">
      <c r="A267" s="37"/>
    </row>
    <row r="268">
      <c r="A268" s="37"/>
    </row>
    <row r="269">
      <c r="A269" s="37"/>
    </row>
    <row r="270">
      <c r="A270" s="37"/>
    </row>
    <row r="271">
      <c r="A271" s="37"/>
    </row>
    <row r="272">
      <c r="A272" s="37"/>
    </row>
    <row r="273">
      <c r="A273" s="37"/>
    </row>
    <row r="274">
      <c r="A274" s="37"/>
    </row>
    <row r="275">
      <c r="A275" s="37"/>
    </row>
    <row r="276">
      <c r="A276" s="37"/>
    </row>
    <row r="277">
      <c r="A277" s="37"/>
    </row>
    <row r="278">
      <c r="A278" s="37"/>
    </row>
    <row r="279">
      <c r="A279" s="37"/>
    </row>
    <row r="280">
      <c r="A280" s="37"/>
    </row>
    <row r="281">
      <c r="A281" s="37"/>
    </row>
    <row r="282">
      <c r="A282" s="37"/>
    </row>
    <row r="283">
      <c r="A283" s="37"/>
    </row>
    <row r="284">
      <c r="A284" s="37"/>
    </row>
    <row r="285">
      <c r="A285" s="37"/>
    </row>
    <row r="286">
      <c r="A286" s="37"/>
    </row>
    <row r="287">
      <c r="A287" s="37"/>
    </row>
    <row r="288">
      <c r="A288" s="37"/>
    </row>
    <row r="289">
      <c r="A289" s="37"/>
    </row>
    <row r="290">
      <c r="A290" s="37"/>
    </row>
    <row r="291">
      <c r="A291" s="37"/>
    </row>
    <row r="292">
      <c r="A292" s="37"/>
    </row>
    <row r="293">
      <c r="A293" s="37"/>
    </row>
    <row r="294">
      <c r="A294" s="37"/>
    </row>
    <row r="295">
      <c r="A295" s="37"/>
    </row>
    <row r="296">
      <c r="A296" s="37"/>
    </row>
    <row r="297">
      <c r="A297" s="37"/>
    </row>
    <row r="298">
      <c r="A298" s="37"/>
    </row>
    <row r="299">
      <c r="A299" s="37"/>
    </row>
    <row r="300">
      <c r="A300" s="37"/>
    </row>
    <row r="301">
      <c r="A301" s="37"/>
    </row>
    <row r="302">
      <c r="A302" s="37"/>
    </row>
    <row r="303">
      <c r="A303" s="37"/>
    </row>
    <row r="304">
      <c r="A304" s="37"/>
    </row>
    <row r="305">
      <c r="A305" s="37"/>
    </row>
    <row r="306">
      <c r="A306" s="37"/>
    </row>
    <row r="307">
      <c r="A307" s="37"/>
    </row>
    <row r="308">
      <c r="A308" s="37"/>
    </row>
    <row r="309">
      <c r="A309" s="37"/>
    </row>
    <row r="310">
      <c r="A310" s="37"/>
    </row>
    <row r="311">
      <c r="A311" s="37"/>
    </row>
    <row r="312">
      <c r="A312" s="37"/>
    </row>
    <row r="313">
      <c r="A313" s="37"/>
    </row>
    <row r="314">
      <c r="A314" s="37"/>
    </row>
    <row r="315">
      <c r="A315" s="37"/>
    </row>
    <row r="316">
      <c r="A316" s="37"/>
    </row>
    <row r="317">
      <c r="A317" s="37"/>
    </row>
    <row r="318">
      <c r="A318" s="37"/>
    </row>
    <row r="319">
      <c r="A319" s="37"/>
    </row>
    <row r="320">
      <c r="A320" s="37"/>
    </row>
    <row r="321">
      <c r="A321" s="37"/>
    </row>
    <row r="322">
      <c r="A322" s="37"/>
    </row>
    <row r="323">
      <c r="A323" s="37"/>
    </row>
    <row r="324">
      <c r="A324" s="37"/>
    </row>
    <row r="325">
      <c r="A325" s="37"/>
    </row>
    <row r="326">
      <c r="A326" s="37"/>
    </row>
    <row r="327">
      <c r="A327" s="37"/>
    </row>
    <row r="328">
      <c r="A328" s="37"/>
    </row>
    <row r="329">
      <c r="A329" s="37"/>
    </row>
    <row r="330">
      <c r="A330" s="37"/>
    </row>
    <row r="331">
      <c r="A331" s="37"/>
    </row>
    <row r="332">
      <c r="A332" s="37"/>
    </row>
    <row r="333">
      <c r="A333" s="37"/>
    </row>
    <row r="334">
      <c r="A334" s="37"/>
    </row>
    <row r="335">
      <c r="A335" s="37"/>
    </row>
    <row r="336">
      <c r="A336" s="37"/>
    </row>
    <row r="337">
      <c r="A337" s="37"/>
    </row>
    <row r="338">
      <c r="A338" s="37"/>
    </row>
    <row r="339">
      <c r="A339" s="37"/>
    </row>
    <row r="340">
      <c r="A340" s="37"/>
    </row>
    <row r="341">
      <c r="A341" s="37"/>
    </row>
    <row r="342">
      <c r="A342" s="37"/>
    </row>
    <row r="343">
      <c r="A343" s="37"/>
    </row>
    <row r="344">
      <c r="A344" s="37"/>
    </row>
    <row r="345">
      <c r="A345" s="37"/>
    </row>
    <row r="346">
      <c r="A346" s="37"/>
    </row>
    <row r="347">
      <c r="A347" s="37"/>
    </row>
    <row r="348">
      <c r="A348" s="37"/>
    </row>
    <row r="349">
      <c r="A349" s="37"/>
    </row>
    <row r="350">
      <c r="A350" s="37"/>
    </row>
    <row r="351">
      <c r="A351" s="37"/>
    </row>
    <row r="352">
      <c r="A352" s="37"/>
    </row>
    <row r="353">
      <c r="A353" s="37"/>
    </row>
    <row r="354">
      <c r="A354" s="37"/>
    </row>
    <row r="355">
      <c r="A355" s="37"/>
    </row>
    <row r="356">
      <c r="A356" s="37"/>
    </row>
    <row r="357">
      <c r="A357" s="37"/>
    </row>
    <row r="358">
      <c r="A358" s="37"/>
    </row>
    <row r="359">
      <c r="A359" s="37"/>
    </row>
    <row r="360">
      <c r="A360" s="37"/>
    </row>
    <row r="361">
      <c r="A361" s="37"/>
    </row>
    <row r="362">
      <c r="A362" s="37"/>
    </row>
    <row r="363">
      <c r="A363" s="37"/>
    </row>
    <row r="364">
      <c r="A364" s="37"/>
    </row>
    <row r="365">
      <c r="A365" s="37"/>
    </row>
    <row r="366">
      <c r="A366" s="37"/>
    </row>
    <row r="367">
      <c r="A367" s="37"/>
    </row>
    <row r="368">
      <c r="A368" s="37"/>
    </row>
    <row r="369">
      <c r="A369" s="37"/>
    </row>
    <row r="370">
      <c r="A370" s="37"/>
    </row>
    <row r="371">
      <c r="A371" s="37"/>
    </row>
    <row r="372">
      <c r="A372" s="37"/>
    </row>
    <row r="373">
      <c r="A373" s="37"/>
    </row>
    <row r="374">
      <c r="A374" s="37"/>
    </row>
    <row r="375">
      <c r="A375" s="37"/>
    </row>
    <row r="376">
      <c r="A376" s="37"/>
    </row>
    <row r="377">
      <c r="A377" s="37"/>
    </row>
    <row r="378">
      <c r="A378" s="37"/>
    </row>
    <row r="379">
      <c r="A379" s="37"/>
    </row>
    <row r="380">
      <c r="A380" s="37"/>
    </row>
    <row r="381">
      <c r="A381" s="37"/>
    </row>
    <row r="382">
      <c r="A382" s="37"/>
    </row>
    <row r="383">
      <c r="A383" s="37"/>
    </row>
    <row r="384">
      <c r="A384" s="37"/>
    </row>
    <row r="385">
      <c r="A385" s="37"/>
    </row>
    <row r="386">
      <c r="A386" s="37"/>
    </row>
    <row r="387">
      <c r="A387" s="37"/>
    </row>
    <row r="388">
      <c r="A388" s="37"/>
    </row>
    <row r="389">
      <c r="A389" s="37"/>
    </row>
    <row r="390">
      <c r="A390" s="37"/>
    </row>
    <row r="391">
      <c r="A391" s="37"/>
    </row>
    <row r="392">
      <c r="A392" s="37"/>
    </row>
    <row r="393">
      <c r="A393" s="37"/>
    </row>
    <row r="394">
      <c r="A394" s="37"/>
    </row>
    <row r="395">
      <c r="A395" s="37"/>
    </row>
    <row r="396">
      <c r="A396" s="37"/>
    </row>
    <row r="397">
      <c r="A397" s="37"/>
    </row>
    <row r="398">
      <c r="A398" s="37"/>
    </row>
    <row r="399">
      <c r="A399" s="37"/>
    </row>
    <row r="400">
      <c r="A400" s="37"/>
    </row>
    <row r="401">
      <c r="A401" s="37"/>
    </row>
    <row r="402">
      <c r="A402" s="37"/>
    </row>
    <row r="403">
      <c r="A403" s="37"/>
    </row>
    <row r="404">
      <c r="A404" s="37"/>
    </row>
    <row r="405">
      <c r="A405" s="37"/>
    </row>
    <row r="406">
      <c r="A406" s="37"/>
    </row>
    <row r="407">
      <c r="A407" s="37"/>
    </row>
    <row r="408">
      <c r="A408" s="37"/>
    </row>
    <row r="409">
      <c r="A409" s="37"/>
    </row>
    <row r="410">
      <c r="A410" s="37"/>
    </row>
    <row r="411">
      <c r="A411" s="37"/>
    </row>
    <row r="412">
      <c r="A412" s="37"/>
    </row>
    <row r="413">
      <c r="A413" s="37"/>
    </row>
    <row r="414">
      <c r="A414" s="37"/>
    </row>
    <row r="415">
      <c r="A415" s="37"/>
    </row>
    <row r="416">
      <c r="A416" s="37"/>
    </row>
    <row r="417">
      <c r="A417" s="37"/>
    </row>
    <row r="418">
      <c r="A418" s="37"/>
    </row>
    <row r="419">
      <c r="A419" s="37"/>
    </row>
    <row r="420">
      <c r="A420" s="37"/>
    </row>
    <row r="421">
      <c r="A421" s="37"/>
    </row>
    <row r="422">
      <c r="A422" s="37"/>
    </row>
    <row r="423">
      <c r="A423" s="37"/>
    </row>
    <row r="424">
      <c r="A424" s="37"/>
    </row>
    <row r="425">
      <c r="A425" s="37"/>
    </row>
    <row r="426">
      <c r="A426" s="37"/>
    </row>
    <row r="427">
      <c r="A427" s="37"/>
    </row>
    <row r="428">
      <c r="A428" s="37"/>
    </row>
    <row r="429">
      <c r="A429" s="37"/>
    </row>
    <row r="430">
      <c r="A430" s="37"/>
    </row>
    <row r="431">
      <c r="A431" s="37"/>
    </row>
    <row r="432">
      <c r="A432" s="37"/>
    </row>
    <row r="433">
      <c r="A433" s="37"/>
    </row>
    <row r="434">
      <c r="A434" s="37"/>
    </row>
    <row r="435">
      <c r="A435" s="37"/>
    </row>
    <row r="436">
      <c r="A436" s="37"/>
    </row>
    <row r="437">
      <c r="A437" s="37"/>
    </row>
    <row r="438">
      <c r="A438" s="37"/>
    </row>
    <row r="439">
      <c r="A439" s="37"/>
    </row>
    <row r="440">
      <c r="A440" s="37"/>
    </row>
    <row r="441">
      <c r="A441" s="37"/>
    </row>
    <row r="442">
      <c r="A442" s="37"/>
    </row>
    <row r="443">
      <c r="A443" s="37"/>
    </row>
    <row r="444">
      <c r="A444" s="37"/>
    </row>
    <row r="445">
      <c r="A445" s="37"/>
    </row>
    <row r="446">
      <c r="A446" s="37"/>
    </row>
    <row r="447">
      <c r="A447" s="37"/>
    </row>
    <row r="448">
      <c r="A448" s="37"/>
    </row>
    <row r="449">
      <c r="A449" s="37"/>
    </row>
    <row r="450">
      <c r="A450" s="37"/>
    </row>
    <row r="451">
      <c r="A451" s="37"/>
    </row>
    <row r="452">
      <c r="A452" s="37"/>
    </row>
    <row r="453">
      <c r="A453" s="37"/>
    </row>
    <row r="454">
      <c r="A454" s="37"/>
    </row>
    <row r="455">
      <c r="A455" s="37"/>
    </row>
    <row r="456">
      <c r="A456" s="37"/>
    </row>
    <row r="457">
      <c r="A457" s="37"/>
    </row>
    <row r="458">
      <c r="A458" s="37"/>
    </row>
    <row r="459">
      <c r="A459" s="37"/>
    </row>
    <row r="460">
      <c r="A460" s="37"/>
    </row>
    <row r="461">
      <c r="A461" s="37"/>
    </row>
    <row r="462">
      <c r="A462" s="37"/>
    </row>
    <row r="463">
      <c r="A463" s="37"/>
    </row>
    <row r="464">
      <c r="A464" s="37"/>
    </row>
    <row r="465">
      <c r="A465" s="37"/>
    </row>
    <row r="466">
      <c r="A466" s="37"/>
    </row>
    <row r="467">
      <c r="A467" s="37"/>
    </row>
    <row r="468">
      <c r="A468" s="37"/>
    </row>
    <row r="469">
      <c r="A469" s="37"/>
    </row>
    <row r="470">
      <c r="A470" s="37"/>
    </row>
    <row r="471">
      <c r="A471" s="37"/>
    </row>
    <row r="472">
      <c r="A472" s="37"/>
    </row>
    <row r="473">
      <c r="A473" s="37"/>
    </row>
    <row r="474">
      <c r="A474" s="37"/>
    </row>
    <row r="475">
      <c r="A475" s="37"/>
    </row>
    <row r="476">
      <c r="A476" s="37"/>
    </row>
    <row r="477">
      <c r="A477" s="37"/>
    </row>
    <row r="478">
      <c r="A478" s="37"/>
    </row>
    <row r="479">
      <c r="A479" s="37"/>
    </row>
    <row r="480">
      <c r="A480" s="37"/>
    </row>
    <row r="481">
      <c r="A481" s="37"/>
    </row>
    <row r="482">
      <c r="A482" s="37"/>
    </row>
    <row r="483">
      <c r="A483" s="37"/>
    </row>
    <row r="484">
      <c r="A484" s="37"/>
    </row>
    <row r="485">
      <c r="A485" s="37"/>
    </row>
    <row r="486">
      <c r="A486" s="37"/>
    </row>
    <row r="487">
      <c r="A487" s="37"/>
    </row>
    <row r="488">
      <c r="A488" s="37"/>
    </row>
    <row r="489">
      <c r="A489" s="37"/>
    </row>
    <row r="490">
      <c r="A490" s="37"/>
    </row>
    <row r="491">
      <c r="A491" s="37"/>
    </row>
    <row r="492">
      <c r="A492" s="37"/>
    </row>
    <row r="493">
      <c r="A493" s="37"/>
    </row>
    <row r="494">
      <c r="A494" s="37"/>
    </row>
    <row r="495">
      <c r="A495" s="37"/>
    </row>
    <row r="496">
      <c r="A496" s="37"/>
    </row>
    <row r="497">
      <c r="A497" s="37"/>
    </row>
    <row r="498">
      <c r="A498" s="37"/>
    </row>
    <row r="499">
      <c r="A499" s="37"/>
    </row>
    <row r="500">
      <c r="A500" s="37"/>
    </row>
    <row r="501">
      <c r="A501" s="37"/>
    </row>
    <row r="502">
      <c r="A502" s="37"/>
    </row>
    <row r="503">
      <c r="A503" s="37"/>
    </row>
    <row r="504">
      <c r="A504" s="37"/>
    </row>
    <row r="505">
      <c r="A505" s="37"/>
    </row>
    <row r="506">
      <c r="A506" s="37"/>
    </row>
    <row r="507">
      <c r="A507" s="37"/>
    </row>
    <row r="508">
      <c r="A508" s="37"/>
    </row>
    <row r="509">
      <c r="A509" s="37"/>
    </row>
    <row r="510">
      <c r="A510" s="37"/>
    </row>
    <row r="511">
      <c r="A511" s="37"/>
    </row>
    <row r="512">
      <c r="A512" s="37"/>
    </row>
    <row r="513">
      <c r="A513" s="37"/>
    </row>
    <row r="514">
      <c r="A514" s="37"/>
    </row>
    <row r="515">
      <c r="A515" s="37"/>
    </row>
    <row r="516">
      <c r="A516" s="37"/>
    </row>
    <row r="517">
      <c r="A517" s="37"/>
    </row>
    <row r="518">
      <c r="A518" s="37"/>
    </row>
    <row r="519">
      <c r="A519" s="37"/>
    </row>
    <row r="520">
      <c r="A520" s="37"/>
    </row>
    <row r="521">
      <c r="A521" s="37"/>
    </row>
    <row r="522">
      <c r="A522" s="37"/>
    </row>
    <row r="523">
      <c r="A523" s="37"/>
    </row>
    <row r="524">
      <c r="A524" s="37"/>
    </row>
    <row r="525">
      <c r="A525" s="37"/>
    </row>
    <row r="526">
      <c r="A526" s="37"/>
    </row>
    <row r="527">
      <c r="A527" s="37"/>
    </row>
    <row r="528">
      <c r="A528" s="37"/>
    </row>
    <row r="529">
      <c r="A529" s="37"/>
    </row>
    <row r="530">
      <c r="A530" s="37"/>
    </row>
    <row r="531">
      <c r="A531" s="37"/>
    </row>
    <row r="532">
      <c r="A532" s="37"/>
    </row>
    <row r="533">
      <c r="A533" s="37"/>
    </row>
    <row r="534">
      <c r="A534" s="37"/>
    </row>
    <row r="535">
      <c r="A535" s="37"/>
    </row>
    <row r="536">
      <c r="A536" s="37"/>
    </row>
    <row r="537">
      <c r="A537" s="37"/>
    </row>
    <row r="538">
      <c r="A538" s="37"/>
    </row>
    <row r="539">
      <c r="A539" s="37"/>
    </row>
    <row r="540">
      <c r="A540" s="37"/>
    </row>
    <row r="541">
      <c r="A541" s="37"/>
    </row>
    <row r="542">
      <c r="A542" s="37"/>
    </row>
    <row r="543">
      <c r="A543" s="37"/>
    </row>
    <row r="544">
      <c r="A544" s="37"/>
    </row>
    <row r="545">
      <c r="A545" s="37"/>
    </row>
    <row r="546">
      <c r="A546" s="37"/>
    </row>
    <row r="547">
      <c r="A547" s="37"/>
    </row>
    <row r="548">
      <c r="A548" s="37"/>
    </row>
    <row r="549">
      <c r="A549" s="37"/>
    </row>
    <row r="550">
      <c r="A550" s="37"/>
    </row>
    <row r="551">
      <c r="A551" s="37"/>
    </row>
    <row r="552">
      <c r="A552" s="37"/>
    </row>
    <row r="553">
      <c r="A553" s="37"/>
    </row>
    <row r="554">
      <c r="A554" s="37"/>
    </row>
    <row r="555">
      <c r="A555" s="37"/>
    </row>
    <row r="556">
      <c r="A556" s="37"/>
    </row>
    <row r="557">
      <c r="A557" s="37"/>
    </row>
    <row r="558">
      <c r="A558" s="37"/>
    </row>
    <row r="559">
      <c r="A559" s="37"/>
    </row>
    <row r="560">
      <c r="A560" s="37"/>
    </row>
    <row r="561">
      <c r="A561" s="37"/>
    </row>
    <row r="562">
      <c r="A562" s="37"/>
    </row>
    <row r="563">
      <c r="A563" s="37"/>
    </row>
    <row r="564">
      <c r="A564" s="37"/>
    </row>
    <row r="565">
      <c r="A565" s="37"/>
    </row>
    <row r="566">
      <c r="A566" s="37"/>
    </row>
    <row r="567">
      <c r="A567" s="37"/>
    </row>
    <row r="568">
      <c r="A568" s="37"/>
    </row>
    <row r="569">
      <c r="A569" s="37"/>
    </row>
    <row r="570">
      <c r="A570" s="37"/>
    </row>
    <row r="571">
      <c r="A571" s="37"/>
    </row>
    <row r="572">
      <c r="A572" s="37"/>
    </row>
    <row r="573">
      <c r="A573" s="37"/>
    </row>
    <row r="574">
      <c r="A574" s="37"/>
    </row>
    <row r="575">
      <c r="A575" s="37"/>
    </row>
    <row r="576">
      <c r="A576" s="37"/>
    </row>
    <row r="577">
      <c r="A577" s="37"/>
    </row>
    <row r="578">
      <c r="A578" s="37"/>
    </row>
    <row r="579">
      <c r="A579" s="37"/>
    </row>
    <row r="580">
      <c r="A580" s="37"/>
    </row>
    <row r="581">
      <c r="A581" s="37"/>
    </row>
    <row r="582">
      <c r="A582" s="37"/>
    </row>
    <row r="583">
      <c r="A583" s="37"/>
    </row>
    <row r="584">
      <c r="A584" s="37"/>
    </row>
    <row r="585">
      <c r="A585" s="37"/>
    </row>
    <row r="586">
      <c r="A586" s="37"/>
    </row>
    <row r="587">
      <c r="A587" s="37"/>
    </row>
    <row r="588">
      <c r="A588" s="37"/>
    </row>
    <row r="589">
      <c r="A589" s="37"/>
    </row>
    <row r="590">
      <c r="A590" s="37"/>
    </row>
    <row r="591">
      <c r="A591" s="37"/>
    </row>
    <row r="592">
      <c r="A592" s="37"/>
    </row>
    <row r="593">
      <c r="A593" s="37"/>
    </row>
    <row r="594">
      <c r="A594" s="37"/>
    </row>
    <row r="595">
      <c r="A595" s="37"/>
    </row>
    <row r="596">
      <c r="A596" s="37"/>
    </row>
    <row r="597">
      <c r="A597" s="37"/>
    </row>
    <row r="598">
      <c r="A598" s="37"/>
    </row>
    <row r="599">
      <c r="A599" s="37"/>
    </row>
    <row r="600">
      <c r="A600" s="37"/>
    </row>
    <row r="601">
      <c r="A601" s="37"/>
    </row>
    <row r="602">
      <c r="A602" s="37"/>
    </row>
    <row r="603">
      <c r="A603" s="37"/>
    </row>
    <row r="604">
      <c r="A604" s="37"/>
    </row>
    <row r="605">
      <c r="A605" s="37"/>
    </row>
    <row r="606">
      <c r="A606" s="37"/>
    </row>
    <row r="607">
      <c r="A607" s="37"/>
    </row>
    <row r="608">
      <c r="A608" s="37"/>
    </row>
    <row r="609">
      <c r="A609" s="37"/>
    </row>
    <row r="610">
      <c r="A610" s="37"/>
    </row>
    <row r="611">
      <c r="A611" s="37"/>
    </row>
    <row r="612">
      <c r="A612" s="37"/>
    </row>
    <row r="613">
      <c r="A613" s="37"/>
    </row>
    <row r="614">
      <c r="A614" s="37"/>
    </row>
    <row r="615">
      <c r="A615" s="37"/>
    </row>
    <row r="616">
      <c r="A616" s="37"/>
    </row>
    <row r="617">
      <c r="A617" s="37"/>
    </row>
    <row r="618">
      <c r="A618" s="37"/>
    </row>
    <row r="619">
      <c r="A619" s="37"/>
    </row>
    <row r="620">
      <c r="A620" s="37"/>
    </row>
    <row r="621">
      <c r="A621" s="37"/>
    </row>
    <row r="622">
      <c r="A622" s="37"/>
    </row>
    <row r="623">
      <c r="A623" s="37"/>
    </row>
    <row r="624">
      <c r="A624" s="37"/>
    </row>
    <row r="625">
      <c r="A625" s="37"/>
    </row>
    <row r="626">
      <c r="A626" s="37"/>
    </row>
    <row r="627">
      <c r="A627" s="37"/>
    </row>
    <row r="628">
      <c r="A628" s="37"/>
    </row>
    <row r="629">
      <c r="A629" s="37"/>
    </row>
    <row r="630">
      <c r="A630" s="37"/>
    </row>
    <row r="631">
      <c r="A631" s="37"/>
    </row>
    <row r="632">
      <c r="A632" s="37"/>
    </row>
    <row r="633">
      <c r="A633" s="37"/>
    </row>
    <row r="634">
      <c r="A634" s="37"/>
    </row>
    <row r="635">
      <c r="A635" s="37"/>
    </row>
    <row r="636">
      <c r="A636" s="37"/>
    </row>
    <row r="637">
      <c r="A637" s="37"/>
    </row>
    <row r="638">
      <c r="A638" s="37"/>
    </row>
    <row r="639">
      <c r="A639" s="37"/>
    </row>
    <row r="640">
      <c r="A640" s="37"/>
    </row>
    <row r="641">
      <c r="A641" s="37"/>
    </row>
    <row r="642">
      <c r="A642" s="37"/>
    </row>
    <row r="643">
      <c r="A643" s="37"/>
    </row>
    <row r="644">
      <c r="A644" s="37"/>
    </row>
    <row r="645">
      <c r="A645" s="37"/>
    </row>
    <row r="646">
      <c r="A646" s="37"/>
    </row>
    <row r="647">
      <c r="A647" s="37"/>
    </row>
    <row r="648">
      <c r="A648" s="37"/>
    </row>
    <row r="649">
      <c r="A649" s="37"/>
    </row>
    <row r="650">
      <c r="A650" s="37"/>
    </row>
    <row r="651">
      <c r="A651" s="37"/>
    </row>
    <row r="652">
      <c r="A652" s="37"/>
    </row>
    <row r="653">
      <c r="A653" s="37"/>
    </row>
    <row r="654">
      <c r="A654" s="37"/>
    </row>
    <row r="655">
      <c r="A655" s="37"/>
    </row>
    <row r="656">
      <c r="A656" s="37"/>
    </row>
    <row r="657">
      <c r="A657" s="37"/>
    </row>
    <row r="658">
      <c r="A658" s="37"/>
    </row>
    <row r="659">
      <c r="A659" s="37"/>
    </row>
    <row r="660">
      <c r="A660" s="37"/>
    </row>
    <row r="661">
      <c r="A661" s="37"/>
    </row>
    <row r="662">
      <c r="A662" s="37"/>
    </row>
    <row r="663">
      <c r="A663" s="37"/>
    </row>
    <row r="664">
      <c r="A664" s="37"/>
    </row>
    <row r="665">
      <c r="A665" s="37"/>
    </row>
    <row r="666">
      <c r="A666" s="37"/>
    </row>
    <row r="667">
      <c r="A667" s="37"/>
    </row>
    <row r="668">
      <c r="A668" s="37"/>
    </row>
    <row r="669">
      <c r="A669" s="37"/>
    </row>
    <row r="670">
      <c r="A670" s="37"/>
    </row>
    <row r="671">
      <c r="A671" s="37"/>
    </row>
    <row r="672">
      <c r="A672" s="37"/>
    </row>
    <row r="673">
      <c r="A673" s="37"/>
    </row>
    <row r="674">
      <c r="A674" s="37"/>
    </row>
    <row r="675">
      <c r="A675" s="37"/>
    </row>
    <row r="676">
      <c r="A676" s="37"/>
    </row>
    <row r="677">
      <c r="A677" s="37"/>
    </row>
    <row r="678">
      <c r="A678" s="37"/>
    </row>
    <row r="679">
      <c r="A679" s="37"/>
    </row>
    <row r="680">
      <c r="A680" s="37"/>
    </row>
    <row r="681">
      <c r="A681" s="37"/>
    </row>
    <row r="682">
      <c r="A682" s="37"/>
    </row>
    <row r="683">
      <c r="A683" s="37"/>
    </row>
    <row r="684">
      <c r="A684" s="37"/>
    </row>
    <row r="685">
      <c r="A685" s="37"/>
    </row>
    <row r="686">
      <c r="A686" s="37"/>
    </row>
    <row r="687">
      <c r="A687" s="37"/>
    </row>
    <row r="688">
      <c r="A688" s="37"/>
    </row>
    <row r="689">
      <c r="A689" s="37"/>
    </row>
    <row r="690">
      <c r="A690" s="37"/>
    </row>
    <row r="691">
      <c r="A691" s="37"/>
    </row>
    <row r="692">
      <c r="A692" s="37"/>
    </row>
    <row r="693">
      <c r="A693" s="37"/>
    </row>
    <row r="694">
      <c r="A694" s="37"/>
    </row>
    <row r="695">
      <c r="A695" s="37"/>
    </row>
    <row r="696">
      <c r="A696" s="37"/>
    </row>
    <row r="697">
      <c r="A697" s="37"/>
    </row>
    <row r="698">
      <c r="A698" s="37"/>
    </row>
    <row r="699">
      <c r="A699" s="37"/>
    </row>
    <row r="700">
      <c r="A700" s="37"/>
    </row>
    <row r="701">
      <c r="A701" s="37"/>
    </row>
    <row r="702">
      <c r="A702" s="37"/>
    </row>
    <row r="703">
      <c r="A703" s="37"/>
    </row>
    <row r="704">
      <c r="A704" s="37"/>
    </row>
    <row r="705">
      <c r="A705" s="37"/>
    </row>
    <row r="706">
      <c r="A706" s="37"/>
    </row>
    <row r="707">
      <c r="A707" s="37"/>
    </row>
    <row r="708">
      <c r="A708" s="37"/>
    </row>
    <row r="709">
      <c r="A709" s="37"/>
    </row>
    <row r="710">
      <c r="A710" s="37"/>
    </row>
    <row r="711">
      <c r="A711" s="37"/>
    </row>
    <row r="712">
      <c r="A712" s="37"/>
    </row>
    <row r="713">
      <c r="A713" s="37"/>
    </row>
    <row r="714">
      <c r="A714" s="37"/>
    </row>
    <row r="715">
      <c r="A715" s="37"/>
    </row>
    <row r="716">
      <c r="A716" s="37"/>
    </row>
    <row r="717">
      <c r="A717" s="37"/>
    </row>
    <row r="718">
      <c r="A718" s="37"/>
    </row>
    <row r="719">
      <c r="A719" s="37"/>
    </row>
    <row r="720">
      <c r="A720" s="37"/>
    </row>
    <row r="721">
      <c r="A721" s="37"/>
    </row>
    <row r="722">
      <c r="A722" s="37"/>
    </row>
    <row r="723">
      <c r="A723" s="37"/>
    </row>
    <row r="724">
      <c r="A724" s="37"/>
    </row>
    <row r="725">
      <c r="A725" s="37"/>
    </row>
    <row r="726">
      <c r="A726" s="37"/>
    </row>
    <row r="727">
      <c r="A727" s="37"/>
    </row>
    <row r="728">
      <c r="A728" s="37"/>
    </row>
    <row r="729">
      <c r="A729" s="37"/>
    </row>
    <row r="730">
      <c r="A730" s="37"/>
    </row>
    <row r="731">
      <c r="A731" s="37"/>
    </row>
    <row r="732">
      <c r="A732" s="37"/>
    </row>
    <row r="733">
      <c r="A733" s="37"/>
    </row>
    <row r="734">
      <c r="A734" s="37"/>
    </row>
    <row r="735">
      <c r="A735" s="37"/>
    </row>
    <row r="736">
      <c r="A736" s="37"/>
    </row>
    <row r="737">
      <c r="A737" s="37"/>
    </row>
    <row r="738">
      <c r="A738" s="37"/>
    </row>
    <row r="739">
      <c r="A739" s="37"/>
    </row>
    <row r="740">
      <c r="A740" s="37"/>
    </row>
    <row r="741">
      <c r="A741" s="37"/>
    </row>
    <row r="742">
      <c r="A742" s="37"/>
    </row>
    <row r="743">
      <c r="A743" s="37"/>
    </row>
    <row r="744">
      <c r="A744" s="37"/>
    </row>
    <row r="745">
      <c r="A745" s="37"/>
    </row>
    <row r="746">
      <c r="A746" s="37"/>
    </row>
    <row r="747">
      <c r="A747" s="37"/>
    </row>
    <row r="748">
      <c r="A748" s="37"/>
    </row>
    <row r="749">
      <c r="A749" s="37"/>
    </row>
    <row r="750">
      <c r="A750" s="37"/>
    </row>
    <row r="751">
      <c r="A751" s="37"/>
    </row>
    <row r="752">
      <c r="A752" s="37"/>
    </row>
    <row r="753">
      <c r="A753" s="37"/>
    </row>
    <row r="754">
      <c r="A754" s="37"/>
    </row>
    <row r="755">
      <c r="A755" s="37"/>
    </row>
    <row r="756">
      <c r="A756" s="37"/>
    </row>
    <row r="757">
      <c r="A757" s="37"/>
    </row>
    <row r="758">
      <c r="A758" s="37"/>
    </row>
    <row r="759">
      <c r="A759" s="37"/>
    </row>
    <row r="760">
      <c r="A760" s="37"/>
    </row>
    <row r="761">
      <c r="A761" s="37"/>
    </row>
    <row r="762">
      <c r="A762" s="37"/>
    </row>
    <row r="763">
      <c r="A763" s="37"/>
    </row>
    <row r="764">
      <c r="A764" s="37"/>
    </row>
    <row r="765">
      <c r="A765" s="37"/>
    </row>
    <row r="766">
      <c r="A766" s="37"/>
    </row>
    <row r="767">
      <c r="A767" s="37"/>
    </row>
    <row r="768">
      <c r="A768" s="37"/>
    </row>
    <row r="769">
      <c r="A769" s="37"/>
    </row>
    <row r="770">
      <c r="A770" s="37"/>
    </row>
    <row r="771">
      <c r="A771" s="37"/>
    </row>
    <row r="772">
      <c r="A772" s="37"/>
    </row>
    <row r="773">
      <c r="A773" s="37"/>
    </row>
    <row r="774">
      <c r="A774" s="37"/>
    </row>
    <row r="775">
      <c r="A775" s="37"/>
    </row>
    <row r="776">
      <c r="A776" s="37"/>
    </row>
    <row r="777">
      <c r="A777" s="37"/>
    </row>
    <row r="778">
      <c r="A778" s="37"/>
    </row>
    <row r="779">
      <c r="A779" s="37"/>
    </row>
    <row r="780">
      <c r="A780" s="37"/>
    </row>
    <row r="781">
      <c r="A781" s="37"/>
    </row>
    <row r="782">
      <c r="A782" s="37"/>
    </row>
    <row r="783">
      <c r="A783" s="37"/>
    </row>
    <row r="784">
      <c r="A784" s="37"/>
    </row>
    <row r="785">
      <c r="A785" s="37"/>
    </row>
    <row r="786">
      <c r="A786" s="37"/>
    </row>
    <row r="787">
      <c r="A787" s="37"/>
    </row>
    <row r="788">
      <c r="A788" s="37"/>
    </row>
    <row r="789">
      <c r="A789" s="37"/>
    </row>
    <row r="790">
      <c r="A790" s="37"/>
    </row>
    <row r="791">
      <c r="A791" s="37"/>
    </row>
    <row r="792">
      <c r="A792" s="37"/>
    </row>
    <row r="793">
      <c r="A793" s="37"/>
    </row>
    <row r="794">
      <c r="A794" s="37"/>
    </row>
    <row r="795">
      <c r="A795" s="37"/>
    </row>
    <row r="796">
      <c r="A796" s="37"/>
    </row>
    <row r="797">
      <c r="A797" s="37"/>
    </row>
    <row r="798">
      <c r="A798" s="37"/>
    </row>
    <row r="799">
      <c r="A799" s="37"/>
    </row>
    <row r="800">
      <c r="A800" s="37"/>
    </row>
    <row r="801">
      <c r="A801" s="37"/>
    </row>
    <row r="802">
      <c r="A802" s="37"/>
    </row>
    <row r="803">
      <c r="A803" s="37"/>
    </row>
    <row r="804">
      <c r="A804" s="37"/>
    </row>
    <row r="805">
      <c r="A805" s="37"/>
    </row>
    <row r="806">
      <c r="A806" s="37"/>
    </row>
    <row r="807">
      <c r="A807" s="37"/>
    </row>
    <row r="808">
      <c r="A808" s="37"/>
    </row>
    <row r="809">
      <c r="A809" s="37"/>
    </row>
    <row r="810">
      <c r="A810" s="37"/>
    </row>
    <row r="811">
      <c r="A811" s="37"/>
    </row>
    <row r="812">
      <c r="A812" s="37"/>
    </row>
    <row r="813">
      <c r="A813" s="37"/>
    </row>
    <row r="814">
      <c r="A814" s="37"/>
    </row>
    <row r="815">
      <c r="A815" s="37"/>
    </row>
    <row r="816">
      <c r="A816" s="37"/>
    </row>
    <row r="817">
      <c r="A817" s="37"/>
    </row>
    <row r="818">
      <c r="A818" s="37"/>
    </row>
    <row r="819">
      <c r="A819" s="37"/>
    </row>
    <row r="820">
      <c r="A820" s="37"/>
    </row>
    <row r="821">
      <c r="A821" s="37"/>
    </row>
    <row r="822">
      <c r="A822" s="37"/>
    </row>
    <row r="823">
      <c r="A823" s="37"/>
    </row>
    <row r="824">
      <c r="A824" s="37"/>
    </row>
    <row r="825">
      <c r="A825" s="37"/>
    </row>
    <row r="826">
      <c r="A826" s="37"/>
    </row>
    <row r="827">
      <c r="A827" s="37"/>
    </row>
    <row r="828">
      <c r="A828" s="37"/>
    </row>
    <row r="829">
      <c r="A829" s="37"/>
    </row>
    <row r="830">
      <c r="A830" s="37"/>
    </row>
    <row r="831">
      <c r="A831" s="37"/>
    </row>
    <row r="832">
      <c r="A832" s="37"/>
    </row>
    <row r="833">
      <c r="A833" s="37"/>
    </row>
    <row r="834">
      <c r="A834" s="37"/>
    </row>
    <row r="835">
      <c r="A835" s="37"/>
    </row>
    <row r="836">
      <c r="A836" s="37"/>
    </row>
    <row r="837">
      <c r="A837" s="37"/>
    </row>
    <row r="838">
      <c r="A838" s="37"/>
    </row>
    <row r="839">
      <c r="A839" s="37"/>
    </row>
    <row r="840">
      <c r="A840" s="37"/>
    </row>
    <row r="841">
      <c r="A841" s="37"/>
    </row>
    <row r="842">
      <c r="A842" s="37"/>
    </row>
    <row r="843">
      <c r="A843" s="37"/>
    </row>
    <row r="844">
      <c r="A844" s="37"/>
    </row>
    <row r="845">
      <c r="A845" s="37"/>
    </row>
    <row r="846">
      <c r="A846" s="37"/>
    </row>
    <row r="847">
      <c r="A847" s="37"/>
    </row>
    <row r="848">
      <c r="A848" s="37"/>
    </row>
    <row r="849">
      <c r="A849" s="37"/>
    </row>
    <row r="850">
      <c r="A850" s="37"/>
    </row>
    <row r="851">
      <c r="A851" s="37"/>
    </row>
    <row r="852">
      <c r="A852" s="37"/>
    </row>
    <row r="853">
      <c r="A853" s="37"/>
    </row>
    <row r="854">
      <c r="A854" s="37"/>
    </row>
    <row r="855">
      <c r="A855" s="37"/>
    </row>
    <row r="856">
      <c r="A856" s="37"/>
    </row>
    <row r="857">
      <c r="A857" s="37"/>
    </row>
    <row r="858">
      <c r="A858" s="37"/>
    </row>
    <row r="859">
      <c r="A859" s="37"/>
    </row>
    <row r="860">
      <c r="A860" s="37"/>
    </row>
    <row r="861">
      <c r="A861" s="37"/>
    </row>
    <row r="862">
      <c r="A862" s="37"/>
    </row>
    <row r="863">
      <c r="A863" s="37"/>
    </row>
    <row r="864">
      <c r="A864" s="37"/>
    </row>
    <row r="865">
      <c r="A865" s="37"/>
    </row>
    <row r="866">
      <c r="A866" s="37"/>
    </row>
    <row r="867">
      <c r="A867" s="37"/>
    </row>
    <row r="868">
      <c r="A868" s="37"/>
    </row>
    <row r="869">
      <c r="A869" s="37"/>
    </row>
    <row r="870">
      <c r="A870" s="37"/>
    </row>
    <row r="871">
      <c r="A871" s="37"/>
    </row>
    <row r="872">
      <c r="A872" s="37"/>
    </row>
    <row r="873">
      <c r="A873" s="37"/>
    </row>
    <row r="874">
      <c r="A874" s="37"/>
    </row>
    <row r="875">
      <c r="A875" s="37"/>
    </row>
    <row r="876">
      <c r="A876" s="37"/>
    </row>
    <row r="877">
      <c r="A877" s="37"/>
    </row>
    <row r="878">
      <c r="A878" s="37"/>
    </row>
    <row r="879">
      <c r="A879" s="37"/>
    </row>
    <row r="880">
      <c r="A880" s="37"/>
    </row>
    <row r="881">
      <c r="A881" s="37"/>
    </row>
    <row r="882">
      <c r="A882" s="37"/>
    </row>
    <row r="883">
      <c r="A883" s="37"/>
    </row>
    <row r="884">
      <c r="A884" s="37"/>
    </row>
    <row r="885">
      <c r="A885" s="37"/>
    </row>
    <row r="886">
      <c r="A886" s="37"/>
    </row>
    <row r="887">
      <c r="A887" s="37"/>
    </row>
    <row r="888">
      <c r="A888" s="37"/>
    </row>
    <row r="889">
      <c r="A889" s="37"/>
    </row>
    <row r="890">
      <c r="A890" s="37"/>
    </row>
    <row r="891">
      <c r="A891" s="37"/>
    </row>
    <row r="892">
      <c r="A892" s="37"/>
    </row>
    <row r="893">
      <c r="A893" s="37"/>
    </row>
    <row r="894">
      <c r="A894" s="37"/>
    </row>
    <row r="895">
      <c r="A895" s="37"/>
    </row>
    <row r="896">
      <c r="A896" s="37"/>
    </row>
    <row r="897">
      <c r="A897" s="37"/>
    </row>
    <row r="898">
      <c r="A898" s="37"/>
    </row>
    <row r="899">
      <c r="A899" s="37"/>
    </row>
    <row r="900">
      <c r="A900" s="37"/>
    </row>
    <row r="901">
      <c r="A901" s="37"/>
    </row>
    <row r="902">
      <c r="A902" s="37"/>
    </row>
    <row r="903">
      <c r="A903" s="37"/>
    </row>
    <row r="904">
      <c r="A904" s="37"/>
    </row>
    <row r="905">
      <c r="A905" s="37"/>
    </row>
    <row r="906">
      <c r="A906" s="37"/>
    </row>
    <row r="907">
      <c r="A907" s="37"/>
    </row>
    <row r="908">
      <c r="A908" s="37"/>
    </row>
    <row r="909">
      <c r="A909" s="37"/>
    </row>
    <row r="910">
      <c r="A910" s="37"/>
    </row>
    <row r="911">
      <c r="A911" s="37"/>
    </row>
    <row r="912">
      <c r="A912" s="37"/>
    </row>
    <row r="913">
      <c r="A913" s="37"/>
    </row>
    <row r="914">
      <c r="A914" s="37"/>
    </row>
    <row r="915">
      <c r="A915" s="37"/>
    </row>
    <row r="916">
      <c r="A916" s="37"/>
    </row>
    <row r="917">
      <c r="A917" s="37"/>
    </row>
    <row r="918">
      <c r="A918" s="37"/>
    </row>
    <row r="919">
      <c r="A919" s="37"/>
    </row>
    <row r="920">
      <c r="A920" s="37"/>
    </row>
    <row r="921">
      <c r="A921" s="37"/>
    </row>
    <row r="922">
      <c r="A922" s="37"/>
    </row>
    <row r="923">
      <c r="A923" s="37"/>
    </row>
    <row r="924">
      <c r="A924" s="37"/>
    </row>
    <row r="925">
      <c r="A925" s="37"/>
    </row>
    <row r="926">
      <c r="A926" s="37"/>
    </row>
    <row r="927">
      <c r="A927" s="37"/>
    </row>
    <row r="928">
      <c r="A928" s="37"/>
    </row>
    <row r="929">
      <c r="A929" s="37"/>
    </row>
    <row r="930">
      <c r="A930" s="37"/>
    </row>
    <row r="931">
      <c r="A931" s="37"/>
    </row>
    <row r="932">
      <c r="A932" s="37"/>
    </row>
    <row r="933">
      <c r="A933" s="37"/>
    </row>
    <row r="934">
      <c r="A934" s="37"/>
    </row>
    <row r="935">
      <c r="A935" s="37"/>
    </row>
    <row r="936">
      <c r="A936" s="37"/>
    </row>
    <row r="937">
      <c r="A937" s="37"/>
    </row>
    <row r="938">
      <c r="A938" s="37"/>
    </row>
    <row r="939">
      <c r="A939" s="37"/>
    </row>
    <row r="940">
      <c r="A940" s="37"/>
    </row>
    <row r="941">
      <c r="A941" s="37"/>
    </row>
    <row r="942">
      <c r="A942" s="37"/>
    </row>
    <row r="943">
      <c r="A943" s="37"/>
    </row>
    <row r="944">
      <c r="A944" s="37"/>
    </row>
    <row r="945">
      <c r="A945" s="37"/>
    </row>
    <row r="946">
      <c r="A946" s="37"/>
    </row>
    <row r="947">
      <c r="A947" s="37"/>
    </row>
    <row r="948">
      <c r="A948" s="37"/>
    </row>
    <row r="949">
      <c r="A949" s="37"/>
    </row>
    <row r="950">
      <c r="A950" s="37"/>
    </row>
    <row r="951">
      <c r="A951" s="37"/>
    </row>
    <row r="952">
      <c r="A952" s="37"/>
    </row>
    <row r="953">
      <c r="A953" s="37"/>
    </row>
    <row r="954">
      <c r="A954" s="37"/>
    </row>
    <row r="955">
      <c r="A955" s="37"/>
    </row>
    <row r="956">
      <c r="A956" s="37"/>
    </row>
    <row r="957">
      <c r="A957" s="37"/>
    </row>
    <row r="958">
      <c r="A958" s="37"/>
    </row>
    <row r="959">
      <c r="A959" s="37"/>
    </row>
    <row r="960">
      <c r="A960" s="37"/>
    </row>
    <row r="961">
      <c r="A961" s="37"/>
    </row>
    <row r="962">
      <c r="A962" s="37"/>
    </row>
    <row r="963">
      <c r="A963" s="37"/>
    </row>
    <row r="964">
      <c r="A964" s="37"/>
    </row>
    <row r="965">
      <c r="A965" s="37"/>
    </row>
    <row r="966">
      <c r="A966" s="37"/>
    </row>
    <row r="967">
      <c r="A967" s="37"/>
    </row>
    <row r="968">
      <c r="A968" s="37"/>
    </row>
    <row r="969">
      <c r="A969" s="37"/>
    </row>
    <row r="970">
      <c r="A970" s="37"/>
    </row>
    <row r="971">
      <c r="A971" s="37"/>
    </row>
    <row r="972">
      <c r="A972" s="37"/>
    </row>
    <row r="973">
      <c r="A973" s="37"/>
    </row>
    <row r="974">
      <c r="A974" s="37"/>
    </row>
    <row r="975">
      <c r="A975" s="37"/>
    </row>
    <row r="976">
      <c r="A976" s="37"/>
    </row>
    <row r="977">
      <c r="A977" s="37"/>
    </row>
    <row r="978">
      <c r="A978" s="37"/>
    </row>
    <row r="979">
      <c r="A979" s="37"/>
    </row>
    <row r="980">
      <c r="A980" s="37"/>
    </row>
    <row r="981">
      <c r="A981" s="37"/>
    </row>
    <row r="982">
      <c r="A982" s="37"/>
    </row>
    <row r="983">
      <c r="A983" s="37"/>
    </row>
    <row r="984">
      <c r="A984" s="37"/>
    </row>
    <row r="985">
      <c r="A985" s="37"/>
    </row>
    <row r="986">
      <c r="A986" s="37"/>
    </row>
    <row r="987">
      <c r="A987" s="37"/>
    </row>
    <row r="988">
      <c r="A988" s="37"/>
    </row>
    <row r="989">
      <c r="A989" s="37"/>
    </row>
    <row r="990">
      <c r="A990" s="37"/>
    </row>
    <row r="991">
      <c r="A991" s="37"/>
    </row>
    <row r="992">
      <c r="A992" s="37"/>
    </row>
    <row r="993">
      <c r="A993" s="37"/>
    </row>
    <row r="994">
      <c r="A994" s="37"/>
    </row>
    <row r="995">
      <c r="A995" s="37"/>
    </row>
    <row r="996">
      <c r="A996" s="37"/>
    </row>
    <row r="997">
      <c r="A997" s="37"/>
    </row>
    <row r="998">
      <c r="A998" s="37"/>
    </row>
    <row r="999">
      <c r="A999" s="37"/>
    </row>
    <row r="1000">
      <c r="A1000" s="37"/>
    </row>
  </sheetData>
  <drawing r:id="rId1"/>
</worksheet>
</file>